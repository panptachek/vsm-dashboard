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5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Пример уч.1 04.05 день" sheetId="2" state="visible" r:id="rId2"/>
    <sheet xmlns:r="http://schemas.openxmlformats.org/officeDocument/2006/relationships" name="Справочники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\.mm\.yyyy"/>
    <numFmt numFmtId="165" formatCode="#,##0.0;;\-"/>
    <numFmt numFmtId="166" formatCode="#,##0;;\-"/>
  </numFmts>
  <fonts count="16">
    <font>
      <name val="Calibri"/>
      <charset val="1"/>
      <family val="2"/>
      <color theme="1"/>
      <sz val="11"/>
    </font>
    <font>
      <name val="Arial"/>
      <charset val="204"/>
      <family val="2"/>
      <b val="1"/>
      <color rgb="FFFFFFFF"/>
      <sz val="14"/>
    </font>
    <font>
      <name val="Arial"/>
      <charset val="204"/>
      <family val="2"/>
      <b val="1"/>
      <color rgb="FFFFFFFF"/>
      <sz val="12"/>
    </font>
    <font>
      <name val="Arial"/>
      <charset val="204"/>
      <family val="2"/>
      <b val="1"/>
      <color rgb="FF1A1A1A"/>
      <sz val="10"/>
    </font>
    <font>
      <name val="Arial"/>
      <charset val="204"/>
      <family val="2"/>
      <sz val="10"/>
    </font>
    <font>
      <name val="Arial"/>
      <charset val="204"/>
      <family val="2"/>
      <b val="1"/>
      <color rgb="FF7F1D1D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color rgb="FF065F46"/>
      <sz val="10"/>
    </font>
    <font>
      <name val="Arial"/>
      <charset val="204"/>
      <family val="2"/>
      <b val="1"/>
      <color rgb="FFFFFFFF"/>
      <sz val="10"/>
    </font>
    <font>
      <name val="Arial"/>
      <charset val="204"/>
      <family val="2"/>
      <i val="1"/>
      <color rgb="FF6B7280"/>
      <sz val="9"/>
    </font>
    <font>
      <b val="1"/>
    </font>
    <font>
      <name val="Calibri"/>
      <color rgb="00000000"/>
      <sz val="11"/>
    </font>
    <font>
      <b val="1"/>
      <color rgb="00FFFFFF"/>
    </font>
    <font>
      <b val="1"/>
      <color rgb="00111827"/>
    </font>
    <font>
      <b val="1"/>
      <sz val="10"/>
    </font>
    <font>
      <sz val="10"/>
    </font>
  </fonts>
  <fills count="13">
    <fill>
      <patternFill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7F1D1D"/>
        <bgColor rgb="FF800000"/>
      </patternFill>
    </fill>
    <fill>
      <patternFill patternType="solid">
        <fgColor rgb="FFF3F3F3"/>
        <bgColor rgb="FFECFDF5"/>
      </patternFill>
    </fill>
    <fill>
      <patternFill patternType="solid">
        <fgColor rgb="FFFFFBEB"/>
        <bgColor rgb="FFFFFFFF"/>
      </patternFill>
    </fill>
    <fill>
      <patternFill patternType="solid">
        <fgColor rgb="FFD1FAE5"/>
        <bgColor rgb="FFECFDF5"/>
      </patternFill>
    </fill>
    <fill>
      <patternFill patternType="solid">
        <fgColor rgb="FFECFDF5"/>
        <bgColor rgb="FFF3F3F3"/>
      </patternFill>
    </fill>
    <fill>
      <patternFill patternType="solid">
        <fgColor rgb="FFDC2626"/>
        <bgColor rgb="FF993366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1F2937"/>
      </patternFill>
    </fill>
    <fill>
      <patternFill patternType="solid">
        <fgColor rgb="00CFE2F3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  <border>
      <left/>
      <right/>
      <top style="thin">
        <color rgb="00D9DEE8"/>
      </top>
      <bottom/>
      <diagonal/>
    </border>
    <border>
      <left/>
      <right style="thin">
        <color rgb="00D9DEE8"/>
      </right>
      <top style="thin">
        <color rgb="00D9DEE8"/>
      </top>
      <bottom/>
      <diagonal/>
    </border>
    <border>
      <left/>
      <right/>
      <top style="thin">
        <color rgb="00D9DEE8"/>
      </top>
      <bottom style="thin">
        <color rgb="00D9DEE8"/>
      </bottom>
      <diagonal/>
    </border>
    <border>
      <left/>
      <right style="thin">
        <color rgb="00D9DEE8"/>
      </right>
      <top style="thin">
        <color rgb="00D9DEE8"/>
      </top>
      <bottom style="thin">
        <color rgb="00D9DEE8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4" fillId="5" borderId="2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165" fontId="7" fillId="7" borderId="1" applyAlignment="1" pivotButton="0" quotePrefix="0" xfId="0">
      <alignment horizontal="center" vertical="center" wrapText="1"/>
    </xf>
    <xf numFmtId="166" fontId="7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/>
    </xf>
    <xf numFmtId="165" fontId="8" fillId="8" borderId="1" applyAlignment="1" pivotButton="0" quotePrefix="0" xfId="0">
      <alignment horizontal="center" vertical="center" wrapText="1"/>
    </xf>
    <xf numFmtId="166" fontId="8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4" fillId="5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/>
    </xf>
    <xf numFmtId="0" fontId="6" fillId="4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9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0" fillId="10" borderId="3" applyAlignment="1" pivotButton="0" quotePrefix="0" xfId="0">
      <alignment vertical="top" wrapText="1"/>
    </xf>
    <xf numFmtId="0" fontId="0" fillId="10" borderId="4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12" fillId="11" borderId="5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1" fillId="0" borderId="5" applyAlignment="1" pivotButton="0" quotePrefix="0" xfId="0">
      <alignment vertical="top" wrapText="1"/>
    </xf>
    <xf numFmtId="0" fontId="13" fillId="9" borderId="5" applyAlignment="1" pivotButton="0" quotePrefix="0" xfId="0">
      <alignment vertical="top" wrapText="1"/>
    </xf>
    <xf numFmtId="0" fontId="14" fillId="12" borderId="5" applyAlignment="1" pivotButton="0" quotePrefix="0" xfId="0">
      <alignment vertical="top" wrapText="1"/>
    </xf>
    <xf numFmtId="164" fontId="15" fillId="10" borderId="5" applyAlignment="1" pivotButton="0" quotePrefix="0" xfId="0">
      <alignment vertical="top" wrapText="1"/>
    </xf>
    <xf numFmtId="0" fontId="15" fillId="10" borderId="5" applyAlignment="1" pivotButton="0" quotePrefix="0" xfId="0">
      <alignment vertical="top" wrapText="1"/>
    </xf>
    <xf numFmtId="0" fontId="15" fillId="10" borderId="8" applyAlignment="1" pivotButton="0" quotePrefix="0" xfId="0">
      <alignment vertical="top" wrapText="1"/>
    </xf>
    <xf numFmtId="0" fontId="15" fillId="10" borderId="9" applyAlignment="1" pivotButton="0" quotePrefix="0" xfId="0">
      <alignment vertical="top" wrapText="1"/>
    </xf>
    <xf numFmtId="0" fontId="14" fillId="9" borderId="5" applyAlignment="1" pivotButton="0" quotePrefix="0" xfId="0">
      <alignment vertical="top" wrapText="1"/>
    </xf>
    <xf numFmtId="0" fontId="15" fillId="0" borderId="5" applyAlignment="1" pivotButton="0" quotePrefix="0" xfId="0">
      <alignment vertical="top" wrapText="1"/>
    </xf>
    <xf numFmtId="165" fontId="11" fillId="9" borderId="5" applyAlignment="1" pivotButton="0" quotePrefix="0" xfId="0">
      <alignment vertical="top" wrapText="1"/>
    </xf>
    <xf numFmtId="166" fontId="11" fillId="9" borderId="5" applyAlignment="1" pivotButton="0" quotePrefix="0" xfId="0">
      <alignment vertical="top" wrapText="1"/>
    </xf>
    <xf numFmtId="165" fontId="11" fillId="0" borderId="5" applyAlignment="1" pivotButton="0" quotePrefix="0" xfId="0">
      <alignment vertical="top" wrapText="1"/>
    </xf>
    <xf numFmtId="166" fontId="11" fillId="0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10" fillId="12" borderId="5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FFBEB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7F1D1D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Файл загружается в VSM Dashboard: Отчёты -&gt; Загрузить -&gt; .xlsx. Блоки ниже соответствуют текущему текстовому парсеру.</t>
      </text>
    </comment>
    <comment ref="B6" authorId="0" shapeId="0">
      <text>
        <t>Формат: Карьер Васильки - песок - 666 м3; Карьер Миголощи - ЩПГС - 999 м3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Файл загружается в VSM Dashboard: Отчёты -&gt; Загрузить -&gt; .xlsx. Блоки ниже соответствуют текущему текстовому парсеру.</t>
      </text>
    </comment>
    <comment ref="B6" authorId="0" shapeId="0">
      <text>
        <t>Формат: Карьер Васильки - песок - 666 м3; Карьер Миголощи - ЩПГС - 999 м3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0"/>
  <sheetViews>
    <sheetView showGridLines="0" zoomScaleNormal="100" workbookViewId="0">
      <pane ySplit="30" topLeftCell="A31" activePane="bottomLeft" state="frozen"/>
      <selection pane="bottomLeft" activeCell="C82" sqref="C82"/>
    </sheetView>
  </sheetViews>
  <sheetFormatPr baseColWidth="8" defaultColWidth="8.7109375" defaultRowHeight="15"/>
  <cols>
    <col width="24" customWidth="1" min="1" max="1"/>
    <col width="18" customWidth="1" min="2" max="4"/>
    <col width="18" customWidth="1" min="3" max="3"/>
    <col width="18" customWidth="1" min="4" max="4"/>
    <col width="20" customWidth="1" min="5" max="5"/>
    <col width="20" customWidth="1" min="6" max="6"/>
    <col width="20" customWidth="1" min="7" max="7"/>
    <col width="28" customWidth="1" min="8" max="8"/>
    <col width="28" customWidth="1" min="9" max="9"/>
    <col width="16" customWidth="1" min="10" max="10"/>
    <col width="14" customWidth="1" min="11" max="11"/>
    <col width="12" customWidth="1" min="12" max="12"/>
    <col width="12" customWidth="1" min="13" max="13"/>
    <col width="24" customWidth="1" min="14" max="14"/>
    <col width="16" customWidth="1" min="15" max="15"/>
  </cols>
  <sheetData>
    <row r="1" ht="27.75" customHeight="1">
      <c r="A1" s="30" t="inlineStr">
        <is>
          <t>ДЕЖУРНЫЙ ОТЧЁТ ПО УЧАСТКУ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2" t="n"/>
      <c r="O1" s="33" t="n"/>
      <c r="P1" s="33" t="n"/>
    </row>
    <row r="2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21.75" customHeight="1">
      <c r="A3" s="34" t="inlineStr">
        <is>
          <t>1. ШАПКА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2" t="n"/>
      <c r="O3" s="33" t="n"/>
      <c r="P3" s="33" t="n"/>
    </row>
    <row r="4" ht="27.75" customHeight="1">
      <c r="A4" s="35" t="inlineStr">
        <is>
          <t>Дата</t>
        </is>
      </c>
      <c r="B4" s="35" t="inlineStr">
        <is>
          <t>Смена</t>
        </is>
      </c>
      <c r="C4" s="35" t="inlineStr">
        <is>
          <t>Участок</t>
        </is>
      </c>
      <c r="D4" s="35" t="inlineStr">
        <is>
          <t>Направление</t>
        </is>
      </c>
      <c r="E4" s="35" t="inlineStr">
        <is>
          <t>Конструктивы (через ;)</t>
        </is>
      </c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</row>
    <row r="5" ht="21.75" customHeight="1">
      <c r="A5" s="36" t="n"/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3" t="n"/>
      <c r="P5" s="33" t="n"/>
    </row>
    <row r="6">
      <c r="A6" s="37" t="inlineStr">
        <is>
          <t>Информация по завозу</t>
        </is>
      </c>
      <c r="B6" s="37" t="n"/>
      <c r="C6" s="38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9" t="n"/>
      <c r="O6" s="33" t="n"/>
      <c r="P6" s="33" t="n"/>
    </row>
    <row r="7" ht="21.75" customHeight="1">
      <c r="A7" s="40" t="inlineStr">
        <is>
          <t>ИТОГИ СМЕНЫ  (считаются автоматически — зеленые ячейки не править)</t>
        </is>
      </c>
      <c r="B7" s="31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2" t="n"/>
      <c r="O7" s="33" t="n"/>
      <c r="P7" s="33" t="n"/>
    </row>
    <row r="8" ht="15" customHeight="1">
      <c r="A8" s="40" t="inlineStr">
        <is>
          <t>Перевозка — по материалам</t>
        </is>
      </c>
      <c r="B8" s="31" t="n"/>
      <c r="C8" s="32" t="n"/>
      <c r="D8" s="33" t="n"/>
      <c r="E8" s="40" t="inlineStr">
        <is>
          <t>Работы — суммарные объёмы</t>
        </is>
      </c>
      <c r="F8" s="31" t="n"/>
      <c r="G8" s="31" t="n"/>
      <c r="H8" s="32" t="n"/>
      <c r="I8" s="33" t="n"/>
      <c r="J8" s="33" t="n"/>
      <c r="K8" s="33" t="n"/>
      <c r="L8" s="33" t="n"/>
      <c r="M8" s="33" t="n"/>
      <c r="N8" s="33" t="n"/>
      <c r="O8" s="33" t="n"/>
      <c r="P8" s="33" t="n"/>
    </row>
    <row r="9">
      <c r="A9" s="35" t="inlineStr">
        <is>
          <t>Материал</t>
        </is>
      </c>
      <c r="B9" s="35" t="inlineStr">
        <is>
          <t>Объём</t>
        </is>
      </c>
      <c r="C9" s="35" t="inlineStr">
        <is>
          <t>Рейсов</t>
        </is>
      </c>
      <c r="D9" s="35" t="inlineStr"/>
      <c r="E9" s="35" t="inlineStr">
        <is>
          <t>Раздел</t>
        </is>
      </c>
      <c r="F9" s="35" t="inlineStr">
        <is>
          <t>м3</t>
        </is>
      </c>
      <c r="G9" s="35" t="inlineStr">
        <is>
          <t>м2</t>
        </is>
      </c>
      <c r="H9" s="35" t="inlineStr">
        <is>
          <t>м</t>
        </is>
      </c>
      <c r="I9" s="35" t="inlineStr"/>
      <c r="J9" s="35" t="inlineStr"/>
      <c r="K9" s="35" t="inlineStr"/>
      <c r="L9" s="35" t="inlineStr"/>
      <c r="M9" s="35" t="inlineStr"/>
      <c r="N9" s="35" t="inlineStr"/>
      <c r="O9" s="33" t="n"/>
      <c r="P9" s="33" t="n"/>
    </row>
    <row r="10">
      <c r="A10" s="41" t="inlineStr">
        <is>
          <t>песок</t>
        </is>
      </c>
      <c r="B10" s="42">
        <f>SUMIFS(K32:K76,H32:H76,A10,L32:L76,"м3")</f>
        <v/>
      </c>
      <c r="C10" s="43">
        <f>SUMIFS(M32:M76,H32:H76,A10)</f>
        <v/>
      </c>
      <c r="D10" s="33" t="n"/>
      <c r="E10" s="41" t="inlineStr">
        <is>
          <t>Основные работы</t>
        </is>
      </c>
      <c r="F10" s="42">
        <f>SUMIFS(M80:M104,N80:N104,"м3")</f>
        <v/>
      </c>
      <c r="G10" s="42">
        <f>SUMIFS(M80:M104,N80:N104,"м2")</f>
        <v/>
      </c>
      <c r="H10" s="42">
        <f>SUMIFS(M80:M104,N80:N104,"м")</f>
        <v/>
      </c>
      <c r="I10" s="33" t="n"/>
      <c r="J10" s="33" t="n"/>
      <c r="K10" s="33" t="n"/>
      <c r="L10" s="33" t="n"/>
      <c r="M10" s="33" t="n"/>
      <c r="N10" s="33" t="n"/>
      <c r="O10" s="33" t="n"/>
      <c r="P10" s="33" t="n"/>
    </row>
    <row r="11">
      <c r="A11" s="41" t="inlineStr">
        <is>
          <t>ЩПГС</t>
        </is>
      </c>
      <c r="B11" s="42">
        <f>SUMIFS(K32:K76,H32:H76,A11,L32:L76,"м3")</f>
        <v/>
      </c>
      <c r="C11" s="43">
        <f>SUMIFS(M32:M76,H32:H76,A11)</f>
        <v/>
      </c>
      <c r="D11" s="33" t="n"/>
      <c r="E11" s="41" t="inlineStr">
        <is>
          <t>Сопутствующие работы</t>
        </is>
      </c>
      <c r="F11" s="42">
        <f>SUMIFS(K108:K122,L108:L122,"м3")</f>
        <v/>
      </c>
      <c r="G11" s="42">
        <f>SUMIFS(K108:K122,L108:L122,"м2")</f>
        <v/>
      </c>
      <c r="H11" s="42">
        <f>SUMIFS(K108:K122,L108:L122,"м")</f>
        <v/>
      </c>
      <c r="I11" s="33" t="n"/>
      <c r="J11" s="33" t="n"/>
      <c r="K11" s="33" t="n"/>
      <c r="L11" s="33" t="n"/>
      <c r="M11" s="33" t="n"/>
      <c r="N11" s="33" t="n"/>
      <c r="O11" s="33" t="n"/>
      <c r="P11" s="33" t="n"/>
    </row>
    <row r="12">
      <c r="A12" s="41" t="inlineStr">
        <is>
          <t>грунт</t>
        </is>
      </c>
      <c r="B12" s="42">
        <f>SUMIFS(K32:K76,H32:H76,A12,L32:L76,"м3")</f>
        <v/>
      </c>
      <c r="C12" s="43">
        <f>SUMIFS(M32:M76,H32:H76,A12)</f>
        <v/>
      </c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</row>
    <row r="13">
      <c r="A13" s="41" t="inlineStr">
        <is>
          <t>скальный грунт</t>
        </is>
      </c>
      <c r="B13" s="42">
        <f>SUMIFS(K32:K76,H32:H76,A13,L32:L76,"м3")</f>
        <v/>
      </c>
      <c r="C13" s="43">
        <f>SUMIFS(M32:M76,H32:H76,A13)</f>
        <v/>
      </c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</row>
    <row r="14">
      <c r="A14" s="33" t="n"/>
      <c r="B14" s="44" t="n"/>
      <c r="C14" s="45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</row>
    <row r="15">
      <c r="A15" s="41" t="inlineStr">
        <is>
          <t>ИТОГО по перевозке</t>
        </is>
      </c>
      <c r="B15" s="42">
        <f>SUM(B10:B14)</f>
        <v/>
      </c>
      <c r="C15" s="43">
        <f>SUM(C10:C14)</f>
        <v/>
      </c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</row>
    <row r="17" ht="15" customHeight="1">
      <c r="A17" s="40" t="inlineStr">
        <is>
          <t>Перевозка — по направлениям (Куда)</t>
        </is>
      </c>
      <c r="B17" s="31" t="n"/>
      <c r="C17" s="32" t="n"/>
      <c r="D17" s="33" t="n"/>
      <c r="E17" s="40" t="inlineStr">
        <is>
          <t>Парк техники — по статусам</t>
        </is>
      </c>
      <c r="F17" s="31" t="n"/>
      <c r="G17" s="32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</row>
    <row r="18">
      <c r="A18" s="35" t="inlineStr">
        <is>
          <t>Куда</t>
        </is>
      </c>
      <c r="B18" s="35" t="inlineStr">
        <is>
          <t>Объём</t>
        </is>
      </c>
      <c r="C18" s="35" t="inlineStr">
        <is>
          <t>Рейсов</t>
        </is>
      </c>
      <c r="D18" s="35" t="inlineStr"/>
      <c r="E18" s="35" t="inlineStr">
        <is>
          <t>Статус</t>
        </is>
      </c>
      <c r="F18" s="35" t="inlineStr">
        <is>
          <t>Единиц</t>
        </is>
      </c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</row>
    <row r="19">
      <c r="A19" s="41" t="inlineStr">
        <is>
          <t>АД5 ПК51+20-ПК53+20</t>
        </is>
      </c>
      <c r="B19" s="42">
        <f>SUMIFS(K32:K76,J32:J76,A19,L32:L76,"м3")</f>
        <v/>
      </c>
      <c r="C19" s="43">
        <f>SUMIFS(M32:M76,J32:J76,A19)</f>
        <v/>
      </c>
      <c r="D19" s="33" t="n"/>
      <c r="E19" s="41" t="inlineStr">
        <is>
          <t>в работе</t>
        </is>
      </c>
      <c r="F19" s="43">
        <f>COUNTIF(E126:E180,E19)</f>
        <v/>
      </c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</row>
    <row r="20">
      <c r="A20" s="41" t="inlineStr">
        <is>
          <t>накопитель песка АД13 ПК2715+00</t>
        </is>
      </c>
      <c r="B20" s="42">
        <f>SUMIFS(K32:K76,J32:J76,A20,L32:L76,"м3")</f>
        <v/>
      </c>
      <c r="C20" s="43">
        <f>SUMIFS(M32:M76,J32:J76,A20)</f>
        <v/>
      </c>
      <c r="D20" s="33" t="n"/>
      <c r="E20" s="41" t="inlineStr">
        <is>
          <t>ремонт</t>
        </is>
      </c>
      <c r="F20" s="43">
        <f>COUNTIF(E126:E180,E20)</f>
        <v/>
      </c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</row>
    <row r="21">
      <c r="A21" s="41" t="inlineStr">
        <is>
          <t>участок усиления 5.2</t>
        </is>
      </c>
      <c r="B21" s="42">
        <f>SUMIFS(K32:K76,J32:J76,A21,L32:L76,"м3")</f>
        <v/>
      </c>
      <c r="C21" s="43">
        <f>SUMIFS(M32:M76,J32:J76,A21)</f>
        <v/>
      </c>
      <c r="D21" s="33" t="n"/>
      <c r="E21" s="41" t="inlineStr">
        <is>
          <t>простой</t>
        </is>
      </c>
      <c r="F21" s="43">
        <f>COUNTIF(E126:E180,E21)</f>
        <v/>
      </c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</row>
    <row r="22">
      <c r="A22" s="41" t="inlineStr">
        <is>
          <t>АД5 тех. проезд к АД13</t>
        </is>
      </c>
      <c r="B22" s="42">
        <f>SUMIFS(K32:K76,J32:J76,A22,L32:L76,"м3")</f>
        <v/>
      </c>
      <c r="C22" s="43">
        <f>SUMIFS(M32:M76,J32:J76,A22)</f>
        <v/>
      </c>
      <c r="D22" s="33" t="n"/>
      <c r="E22" s="41" t="inlineStr">
        <is>
          <t>резерв</t>
        </is>
      </c>
      <c r="F22" s="43">
        <f>COUNTIF(E126:E180,E22)</f>
        <v/>
      </c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</row>
    <row r="23">
      <c r="A23" s="41" t="inlineStr">
        <is>
          <t>АД6 накопитель ЩПГС ПК2687+00</t>
        </is>
      </c>
      <c r="B23" s="42">
        <f>SUMIFS(K32:K76,J32:J76,A23,L32:L76,"м3")</f>
        <v/>
      </c>
      <c r="C23" s="43">
        <f>SUMIFS(M32:M76,J32:J76,A23)</f>
        <v/>
      </c>
      <c r="D23" s="33" t="n"/>
      <c r="E23" s="41" t="inlineStr">
        <is>
          <t>без экипажа</t>
        </is>
      </c>
      <c r="F23" s="43">
        <f>COUNTIF(E126:E180,E23)</f>
        <v/>
      </c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</row>
    <row r="24">
      <c r="A24" s="33" t="n"/>
      <c r="B24" s="44" t="n"/>
      <c r="C24" s="45" t="n"/>
      <c r="D24" s="33" t="n"/>
      <c r="E24" s="41" t="inlineStr">
        <is>
          <t>переброска на ИССО</t>
        </is>
      </c>
      <c r="F24" s="43">
        <f>COUNTIF(E126:E180,E24)</f>
        <v/>
      </c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</row>
    <row r="25">
      <c r="A25" s="33" t="n"/>
      <c r="B25" s="44" t="n"/>
      <c r="C25" s="45" t="n"/>
      <c r="D25" s="33" t="n"/>
      <c r="E25" s="33" t="n"/>
      <c r="F25" s="45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</row>
    <row r="26">
      <c r="A26" s="33" t="n"/>
      <c r="B26" s="44" t="n"/>
      <c r="C26" s="45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</row>
    <row r="27">
      <c r="A27" s="33" t="n"/>
      <c r="B27" s="44" t="n"/>
      <c r="C27" s="45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</row>
    <row r="30" ht="21.75" customHeight="1">
      <c r="A30" s="34" t="inlineStr">
        <is>
          <t>2. ПЕРЕВОЗКА  (одна строка = один маршрут одного водителя)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2" t="n"/>
      <c r="O30" s="33" t="n"/>
      <c r="P30" s="33" t="n"/>
    </row>
    <row r="31" ht="30" customHeight="1">
      <c r="A31" s="35" t="inlineStr">
        <is>
          <t>Водитель</t>
        </is>
      </c>
      <c r="B31" s="35" t="inlineStr">
        <is>
          <t>Тип ТС</t>
        </is>
      </c>
      <c r="C31" s="35" t="inlineStr">
        <is>
          <t>Модель</t>
        </is>
      </c>
      <c r="D31" s="35" t="inlineStr">
        <is>
          <t>Борт/госномер</t>
        </is>
      </c>
      <c r="E31" s="35" t="inlineStr">
        <is>
          <t>Владелец</t>
        </is>
      </c>
      <c r="F31" s="35" t="inlineStr">
        <is>
          <t>Примечание</t>
        </is>
      </c>
      <c r="G31" s="35" t="inlineStr">
        <is>
          <t>Материал</t>
        </is>
      </c>
      <c r="H31" s="35" t="inlineStr">
        <is>
          <t>Откуда</t>
        </is>
      </c>
      <c r="I31" s="35" t="inlineStr">
        <is>
          <t>Куда</t>
        </is>
      </c>
      <c r="J31" s="35" t="inlineStr">
        <is>
          <t>Объём</t>
        </is>
      </c>
      <c r="K31" s="35" t="inlineStr">
        <is>
          <t>Рейсов</t>
        </is>
      </c>
      <c r="L31" s="35" t="inlineStr">
        <is>
          <t>Ед. изм.</t>
        </is>
      </c>
      <c r="M31" s="33" t="n"/>
      <c r="N31" s="33" t="n"/>
      <c r="O31" s="33" t="n"/>
      <c r="P31" s="33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3" t="n"/>
      <c r="P32" s="33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3" t="n"/>
      <c r="P33" s="33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3" t="n"/>
      <c r="P34" s="33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3" t="n"/>
      <c r="P35" s="33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3" t="n"/>
      <c r="P36" s="33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3" t="n"/>
      <c r="P37" s="33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3" t="n"/>
      <c r="P38" s="33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3" t="n"/>
      <c r="P39" s="33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3" t="n"/>
      <c r="P40" s="33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3" t="n"/>
      <c r="P41" s="33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3" t="n"/>
      <c r="P42" s="33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3" t="n"/>
      <c r="P43" s="33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3" t="n"/>
      <c r="P44" s="33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3" t="n"/>
      <c r="P45" s="33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3" t="n"/>
      <c r="P46" s="33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3" t="n"/>
      <c r="P47" s="33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3" t="n"/>
      <c r="P48" s="33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3" t="n"/>
      <c r="P49" s="33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3" t="n"/>
      <c r="P50" s="33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3" t="n"/>
      <c r="P51" s="33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3" t="n"/>
      <c r="P52" s="33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3" t="n"/>
      <c r="P53" s="33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3" t="n"/>
      <c r="P54" s="33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3" t="n"/>
      <c r="P55" s="33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3" t="n"/>
      <c r="P56" s="33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3" t="n"/>
      <c r="P57" s="33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3" t="n"/>
      <c r="P58" s="33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3" t="n"/>
      <c r="P59" s="33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3" t="n"/>
      <c r="P60" s="33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3" t="n"/>
      <c r="P61" s="33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3" t="n"/>
      <c r="P62" s="33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3" t="n"/>
      <c r="P63" s="33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3" t="n"/>
      <c r="P64" s="33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3" t="n"/>
      <c r="P65" s="33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3" t="n"/>
      <c r="P66" s="33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3" t="n"/>
      <c r="P67" s="33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3" t="n"/>
      <c r="P68" s="33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3" t="n"/>
      <c r="P69" s="33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3" t="n"/>
      <c r="P70" s="33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3" t="n"/>
      <c r="P71" s="33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3" t="n"/>
      <c r="P72" s="33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3" t="n"/>
      <c r="P73" s="33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3" t="n"/>
      <c r="P74" s="33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3" t="n"/>
      <c r="P75" s="33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3" t="n"/>
      <c r="P76" s="33" t="n"/>
    </row>
    <row r="77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3" t="n"/>
      <c r="N77" s="33" t="n"/>
      <c r="O77" s="33" t="n"/>
      <c r="P77" s="33" t="n"/>
    </row>
    <row r="78" ht="21.75" customHeight="1">
      <c r="A78" s="34" t="inlineStr">
        <is>
          <t>3. ОСНОВНЫЕ РАБОТЫ  (работы, для которых рассчитывается производительность)</t>
        </is>
      </c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2" t="n"/>
      <c r="O78" s="33" t="n"/>
      <c r="P78" s="33" t="n"/>
    </row>
    <row r="79" ht="30" customHeight="1">
      <c r="A79" s="35" t="inlineStr">
        <is>
          <t>Конструктив</t>
        </is>
      </c>
      <c r="B79" s="35" t="inlineStr">
        <is>
          <t>Вид работ</t>
        </is>
      </c>
      <c r="C79" s="35" t="inlineStr">
        <is>
          <t>ПК ВСЖМ (от)</t>
        </is>
      </c>
      <c r="D79" s="35" t="inlineStr">
        <is>
          <t>ПК ВСЖМ (до)</t>
        </is>
      </c>
      <c r="E79" s="35" t="inlineStr">
        <is>
          <t>ПК АД (от)</t>
        </is>
      </c>
      <c r="F79" s="35" t="inlineStr">
        <is>
          <t>ПК АД (до)</t>
        </is>
      </c>
      <c r="G79" s="35" t="inlineStr">
        <is>
          <t>Оператор/машинист</t>
        </is>
      </c>
      <c r="H79" s="35" t="inlineStr">
        <is>
          <t>Тип техники</t>
        </is>
      </c>
      <c r="I79" s="35" t="inlineStr">
        <is>
          <t>Модель</t>
        </is>
      </c>
      <c r="J79" s="35" t="inlineStr">
        <is>
          <t>Борт/госномер</t>
        </is>
      </c>
      <c r="K79" s="35" t="inlineStr">
        <is>
          <t>Владелец</t>
        </is>
      </c>
      <c r="L79" s="35" t="inlineStr">
        <is>
          <t>Объём</t>
        </is>
      </c>
      <c r="M79" s="35" t="inlineStr">
        <is>
          <t>Ед. изм.</t>
        </is>
      </c>
      <c r="N79" s="35" t="inlineStr">
        <is>
          <t>Примечание</t>
        </is>
      </c>
      <c r="O79" s="33" t="n"/>
      <c r="P79" s="33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3" t="n"/>
      <c r="P80" s="33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3" t="n"/>
      <c r="P81" s="33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3" t="n"/>
      <c r="P82" s="33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3" t="n"/>
      <c r="P83" s="33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3" t="n"/>
      <c r="P84" s="33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3" t="n"/>
      <c r="P85" s="33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3" t="n"/>
      <c r="P86" s="33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3" t="n"/>
      <c r="P87" s="33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3" t="n"/>
      <c r="P88" s="33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3" t="n"/>
      <c r="P89" s="33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3" t="n"/>
      <c r="P90" s="33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3" t="n"/>
      <c r="P91" s="33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3" t="n"/>
      <c r="P92" s="33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3" t="n"/>
      <c r="P93" s="33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3" t="n"/>
      <c r="P94" s="33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3" t="n"/>
      <c r="P95" s="33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3" t="n"/>
      <c r="P96" s="33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3" t="n"/>
      <c r="P97" s="33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3" t="n"/>
      <c r="P98" s="33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3" t="n"/>
      <c r="P99" s="33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3" t="n"/>
      <c r="P100" s="33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3" t="n"/>
      <c r="P101" s="33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3" t="n"/>
      <c r="P102" s="33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3" t="n"/>
      <c r="P103" s="33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3" t="n"/>
      <c r="P104" s="33" t="n"/>
    </row>
    <row r="105">
      <c r="A105" s="33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3" t="n"/>
      <c r="P105" s="33" t="n"/>
    </row>
    <row r="106" ht="21.75" customHeight="1">
      <c r="A106" s="34" t="inlineStr">
        <is>
          <t>4. СОПУТСТВУЮЩИЕ РАБОТЫ  (учёт есть, производительность не рассчитывается)</t>
        </is>
      </c>
      <c r="B106" s="31" t="n"/>
      <c r="C106" s="31" t="n"/>
      <c r="D106" s="31" t="n"/>
      <c r="E106" s="31" t="n"/>
      <c r="F106" s="31" t="n"/>
      <c r="G106" s="31" t="n"/>
      <c r="H106" s="31" t="n"/>
      <c r="I106" s="31" t="n"/>
      <c r="J106" s="31" t="n"/>
      <c r="K106" s="31" t="n"/>
      <c r="L106" s="31" t="n"/>
      <c r="M106" s="31" t="n"/>
      <c r="N106" s="32" t="n"/>
      <c r="O106" s="33" t="n"/>
      <c r="P106" s="33" t="n"/>
    </row>
    <row r="107" ht="30" customHeight="1">
      <c r="A107" s="35" t="inlineStr">
        <is>
          <t>Вид работ</t>
        </is>
      </c>
      <c r="B107" s="35" t="inlineStr">
        <is>
          <t>ПК ВСЖМ (от)</t>
        </is>
      </c>
      <c r="C107" s="35" t="inlineStr">
        <is>
          <t>ПК ВСЖМ (до)</t>
        </is>
      </c>
      <c r="D107" s="35" t="inlineStr">
        <is>
          <t>ПК АД (от)</t>
        </is>
      </c>
      <c r="E107" s="35" t="inlineStr">
        <is>
          <t>ПК АД (до)</t>
        </is>
      </c>
      <c r="F107" s="35" t="inlineStr">
        <is>
          <t>Оператор/машинист</t>
        </is>
      </c>
      <c r="G107" s="35" t="inlineStr">
        <is>
          <t>Тип техники</t>
        </is>
      </c>
      <c r="H107" s="35" t="inlineStr">
        <is>
          <t>Модель</t>
        </is>
      </c>
      <c r="I107" s="35" t="inlineStr">
        <is>
          <t>Борт/госномер</t>
        </is>
      </c>
      <c r="J107" s="35" t="inlineStr">
        <is>
          <t>Владелец</t>
        </is>
      </c>
      <c r="K107" s="35" t="inlineStr">
        <is>
          <t>Объём</t>
        </is>
      </c>
      <c r="L107" s="35" t="inlineStr">
        <is>
          <t>Ед. изм.</t>
        </is>
      </c>
      <c r="M107" s="35" t="inlineStr">
        <is>
          <t>Примечание</t>
        </is>
      </c>
      <c r="N107" s="33" t="n"/>
      <c r="O107" s="33" t="n"/>
      <c r="P107" s="33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3" t="n"/>
      <c r="P108" s="33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3" t="n"/>
      <c r="P109" s="33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3" t="n"/>
      <c r="P110" s="33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3" t="n"/>
      <c r="P111" s="33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3" t="n"/>
      <c r="P112" s="33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3" t="n"/>
      <c r="P113" s="33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3" t="n"/>
      <c r="P114" s="33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3" t="n"/>
      <c r="P115" s="33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3" t="n"/>
      <c r="P116" s="33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3" t="n"/>
      <c r="P117" s="33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3" t="n"/>
      <c r="P118" s="33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3" t="n"/>
      <c r="P119" s="33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3" t="n"/>
      <c r="P120" s="33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3" t="n"/>
      <c r="P121" s="33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3" t="n"/>
      <c r="P122" s="33" t="n"/>
    </row>
    <row r="123">
      <c r="A123" s="33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3" t="n"/>
      <c r="N123" s="33" t="n"/>
      <c r="O123" s="33" t="n"/>
      <c r="P123" s="33" t="n"/>
    </row>
    <row r="124" ht="21.75" customHeight="1">
      <c r="A124" s="34" t="inlineStr">
        <is>
          <t>5. ПАРК ТЕХНИКИ  (задействована, простой, ремонт)</t>
        </is>
      </c>
      <c r="B124" s="31" t="n"/>
      <c r="C124" s="31" t="n"/>
      <c r="D124" s="31" t="n"/>
      <c r="E124" s="31" t="n"/>
      <c r="F124" s="31" t="n"/>
      <c r="G124" s="31" t="n"/>
      <c r="H124" s="31" t="n"/>
      <c r="I124" s="31" t="n"/>
      <c r="J124" s="31" t="n"/>
      <c r="K124" s="31" t="n"/>
      <c r="L124" s="31" t="n"/>
      <c r="M124" s="31" t="n"/>
      <c r="N124" s="32" t="n"/>
      <c r="O124" s="33" t="n"/>
      <c r="P124" s="33" t="n"/>
    </row>
    <row r="125" ht="30" customHeight="1">
      <c r="A125" s="35" t="inlineStr">
        <is>
          <t>Тип</t>
        </is>
      </c>
      <c r="B125" s="35" t="inlineStr">
        <is>
          <t>Модель</t>
        </is>
      </c>
      <c r="C125" s="35" t="inlineStr">
        <is>
          <t>Борт/госномер</t>
        </is>
      </c>
      <c r="D125" s="35" t="inlineStr">
        <is>
          <t>Владелец/оператор</t>
        </is>
      </c>
      <c r="E125" s="35" t="inlineStr">
        <is>
          <t>Статус</t>
        </is>
      </c>
      <c r="F125" s="35" t="inlineStr">
        <is>
          <t>Примечание/причина</t>
        </is>
      </c>
      <c r="G125" s="33" t="n"/>
      <c r="H125" s="33" t="n"/>
      <c r="I125" s="33" t="n"/>
      <c r="J125" s="33" t="n"/>
      <c r="K125" s="33" t="n"/>
      <c r="L125" s="33" t="n"/>
      <c r="M125" s="33" t="n"/>
      <c r="N125" s="33" t="n"/>
      <c r="O125" s="33" t="n"/>
      <c r="P125" s="33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3" t="n"/>
      <c r="P126" s="33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3" t="n"/>
      <c r="P127" s="33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3" t="n"/>
      <c r="P128" s="33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3" t="n"/>
      <c r="P129" s="33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3" t="n"/>
      <c r="P130" s="33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3" t="n"/>
      <c r="P131" s="33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3" t="n"/>
      <c r="P132" s="33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3" t="n"/>
      <c r="P133" s="33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3" t="n"/>
      <c r="P134" s="33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3" t="n"/>
      <c r="P135" s="33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3" t="n"/>
      <c r="P136" s="33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3" t="n"/>
      <c r="P137" s="33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3" t="n"/>
      <c r="P138" s="33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3" t="n"/>
      <c r="P139" s="33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3" t="n"/>
      <c r="P140" s="33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3" t="n"/>
      <c r="P141" s="33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3" t="n"/>
      <c r="P142" s="33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3" t="n"/>
      <c r="P143" s="33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3" t="n"/>
      <c r="P144" s="33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3" t="n"/>
      <c r="P145" s="33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3" t="n"/>
      <c r="P146" s="33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3" t="n"/>
      <c r="P147" s="33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3" t="n"/>
      <c r="P148" s="33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3" t="n"/>
      <c r="P149" s="33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3" t="n"/>
      <c r="P150" s="33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3" t="n"/>
      <c r="P151" s="33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3" t="n"/>
      <c r="P152" s="33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3" t="n"/>
      <c r="P153" s="33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3" t="n"/>
      <c r="P154" s="33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3" t="n"/>
      <c r="P155" s="33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3" t="n"/>
      <c r="P156" s="33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3" t="n"/>
      <c r="P157" s="33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3" t="n"/>
      <c r="P158" s="33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3" t="n"/>
      <c r="P159" s="33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3" t="n"/>
      <c r="P160" s="33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3" t="n"/>
      <c r="P161" s="33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3" t="n"/>
      <c r="P162" s="33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3" t="n"/>
      <c r="P163" s="33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3" t="n"/>
      <c r="P164" s="33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3" t="n"/>
      <c r="P165" s="33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3" t="n"/>
      <c r="P166" s="33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3" t="n"/>
      <c r="P167" s="33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3" t="n"/>
      <c r="P168" s="33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3" t="n"/>
      <c r="P169" s="33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3" t="n"/>
      <c r="P170" s="33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3" t="n"/>
      <c r="P171" s="33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3" t="n"/>
      <c r="P172" s="33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3" t="n"/>
      <c r="P173" s="33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3" t="n"/>
      <c r="P174" s="33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3" t="n"/>
      <c r="P175" s="33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3" t="n"/>
      <c r="P176" s="33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3" t="n"/>
      <c r="P177" s="33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3" t="n"/>
      <c r="P178" s="33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3" t="n"/>
      <c r="P179" s="33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3" t="n"/>
      <c r="P180" s="33" t="n"/>
    </row>
    <row r="181">
      <c r="A181" s="33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3" t="n"/>
      <c r="N181" s="33" t="n"/>
      <c r="O181" s="33" t="n"/>
      <c r="P181" s="33" t="n"/>
    </row>
    <row r="182" ht="21.75" customHeight="1">
      <c r="A182" s="34" t="inlineStr">
        <is>
          <t>6. ПРОБЛЕМНЫЕ ВОПРОСЫ  (свободный текст)</t>
        </is>
      </c>
      <c r="B182" s="31" t="n"/>
      <c r="C182" s="31" t="n"/>
      <c r="D182" s="31" t="n"/>
      <c r="E182" s="31" t="n"/>
      <c r="F182" s="31" t="n"/>
      <c r="G182" s="31" t="n"/>
      <c r="H182" s="31" t="n"/>
      <c r="I182" s="31" t="n"/>
      <c r="J182" s="31" t="n"/>
      <c r="K182" s="31" t="n"/>
      <c r="L182" s="31" t="n"/>
      <c r="M182" s="31" t="n"/>
      <c r="N182" s="32" t="n"/>
      <c r="O182" s="33" t="n"/>
      <c r="P182" s="33" t="n"/>
    </row>
    <row r="183" ht="21.75" customHeight="1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3" t="n"/>
      <c r="P183" s="33" t="n"/>
    </row>
    <row r="184" ht="21.75" customHeight="1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3" t="n"/>
      <c r="P184" s="33" t="n"/>
    </row>
    <row r="185" ht="21.75" customHeight="1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3" t="n"/>
      <c r="P185" s="33" t="n"/>
    </row>
    <row r="186" ht="21.75" customHeight="1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3" t="n"/>
      <c r="P186" s="33" t="n"/>
    </row>
    <row r="187" ht="21.75" customHeight="1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3" t="n"/>
      <c r="P187" s="33" t="n"/>
    </row>
    <row r="188">
      <c r="A188" s="33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3" t="n"/>
      <c r="P188" s="33" t="n"/>
    </row>
    <row r="189" ht="21.75" customHeight="1">
      <c r="A189" s="34" t="inlineStr">
        <is>
          <t>7. ПЕРСОНАЛ</t>
        </is>
      </c>
      <c r="B189" s="31" t="n"/>
      <c r="C189" s="31" t="n"/>
      <c r="D189" s="31" t="n"/>
      <c r="E189" s="31" t="n"/>
      <c r="F189" s="31" t="n"/>
      <c r="G189" s="31" t="n"/>
      <c r="H189" s="31" t="n"/>
      <c r="I189" s="31" t="n"/>
      <c r="J189" s="31" t="n"/>
      <c r="K189" s="31" t="n"/>
      <c r="L189" s="31" t="n"/>
      <c r="M189" s="31" t="n"/>
      <c r="N189" s="32" t="n"/>
      <c r="O189" s="33" t="n"/>
      <c r="P189" s="33" t="n"/>
    </row>
    <row r="190" ht="27.75" customHeight="1">
      <c r="A190" s="35" t="inlineStr">
        <is>
          <t>ДР (чел.)</t>
        </is>
      </c>
      <c r="B190" s="35" t="inlineStr">
        <is>
          <t>ИТР (чел.)</t>
        </is>
      </c>
      <c r="C190" s="35" t="inlineStr">
        <is>
          <t>Водители (чел.)</t>
        </is>
      </c>
      <c r="D190" s="35" t="inlineStr">
        <is>
          <t>Механизаторы (чел.)</t>
        </is>
      </c>
      <c r="E190" s="35" t="inlineStr">
        <is>
          <t>Примечание</t>
        </is>
      </c>
      <c r="F190" s="33" t="n"/>
      <c r="G190" s="33" t="n"/>
      <c r="H190" s="33" t="n"/>
      <c r="I190" s="33" t="n"/>
      <c r="J190" s="33" t="n"/>
      <c r="K190" s="33" t="n"/>
      <c r="L190" s="33" t="n"/>
      <c r="M190" s="33" t="n"/>
      <c r="N190" s="33" t="n"/>
      <c r="O190" s="33" t="n"/>
      <c r="P190" s="33" t="n"/>
    </row>
    <row r="191" ht="21.75" customHeight="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3" t="n"/>
      <c r="P191" s="33" t="n"/>
    </row>
    <row r="192">
      <c r="A192" s="33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3" t="n"/>
      <c r="N192" s="33" t="n"/>
      <c r="O192" s="33" t="n"/>
      <c r="P192" s="33" t="n"/>
    </row>
    <row r="193">
      <c r="A193" s="34" t="inlineStr">
        <is>
          <t>8. НАКОПИТЕЛИ  (ненулевые накопители в пределах участка)</t>
        </is>
      </c>
      <c r="B193" s="31" t="n"/>
      <c r="C193" s="31" t="n"/>
      <c r="D193" s="31" t="n"/>
      <c r="E193" s="31" t="n"/>
      <c r="F193" s="31" t="n"/>
      <c r="G193" s="31" t="n"/>
      <c r="H193" s="31" t="n"/>
      <c r="I193" s="31" t="n"/>
      <c r="J193" s="31" t="n"/>
      <c r="K193" s="31" t="n"/>
      <c r="L193" s="31" t="n"/>
      <c r="M193" s="31" t="n"/>
      <c r="N193" s="32" t="n"/>
      <c r="O193" s="33" t="n"/>
      <c r="P193" s="33" t="n"/>
    </row>
    <row r="194">
      <c r="A194" s="35" t="inlineStr">
        <is>
          <t>Название накопителя</t>
        </is>
      </c>
      <c r="B194" s="35" t="inlineStr">
        <is>
          <t>ПК</t>
        </is>
      </c>
      <c r="C194" s="35" t="inlineStr">
        <is>
          <t>Объём на конец смены</t>
        </is>
      </c>
      <c r="D194" s="35" t="inlineStr">
        <is>
          <t>Ед. изм.</t>
        </is>
      </c>
      <c r="E194" s="35" t="inlineStr">
        <is>
          <t>Примечание</t>
        </is>
      </c>
      <c r="F194" s="33" t="n"/>
      <c r="G194" s="33" t="n"/>
      <c r="H194" s="33" t="n"/>
      <c r="I194" s="33" t="n"/>
      <c r="J194" s="33" t="n"/>
      <c r="K194" s="33" t="n"/>
      <c r="L194" s="33" t="n"/>
      <c r="M194" s="33" t="n"/>
      <c r="N194" s="33" t="n"/>
      <c r="O194" s="33" t="n"/>
      <c r="P194" s="33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3" t="n"/>
      <c r="P195" s="33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3" t="n"/>
      <c r="P196" s="33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3" t="n"/>
      <c r="P197" s="33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3" t="n"/>
      <c r="P198" s="33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3" t="n"/>
      <c r="P199" s="33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3" t="n"/>
      <c r="P200" s="33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3" t="n"/>
      <c r="P201" s="33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3" t="n"/>
      <c r="P202" s="33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3" t="n"/>
      <c r="P203" s="33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3" t="n"/>
      <c r="P204" s="33" t="n"/>
    </row>
    <row r="205">
      <c r="A205" s="33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3" t="n"/>
      <c r="P205" s="33" t="n"/>
    </row>
    <row r="206">
      <c r="A206" s="34" t="inlineStr">
        <is>
          <t>9. ЗАБИВКА СВАЙ  (если была за смену)</t>
        </is>
      </c>
      <c r="B206" s="31" t="n"/>
      <c r="C206" s="31" t="n"/>
      <c r="D206" s="31" t="n"/>
      <c r="E206" s="31" t="n"/>
      <c r="F206" s="31" t="n"/>
      <c r="G206" s="31" t="n"/>
      <c r="H206" s="31" t="n"/>
      <c r="I206" s="31" t="n"/>
      <c r="J206" s="31" t="n"/>
      <c r="K206" s="31" t="n"/>
      <c r="L206" s="31" t="n"/>
      <c r="M206" s="31" t="n"/>
      <c r="N206" s="32" t="n"/>
      <c r="O206" s="33" t="n"/>
      <c r="P206" s="33" t="n"/>
    </row>
    <row r="207">
      <c r="A207" s="35" t="inlineStr">
        <is>
          <t>Поле</t>
        </is>
      </c>
      <c r="B207" s="35" t="inlineStr">
        <is>
          <t>ПК</t>
        </is>
      </c>
      <c r="C207" s="35" t="inlineStr">
        <is>
          <t>Тип работ</t>
        </is>
      </c>
      <c r="D207" s="35" t="inlineStr">
        <is>
          <t>Количество свай</t>
        </is>
      </c>
      <c r="E207" s="35" t="inlineStr">
        <is>
          <t>Тип/длина сваи</t>
        </is>
      </c>
      <c r="F207" s="35" t="inlineStr">
        <is>
          <t>Составная готова</t>
        </is>
      </c>
      <c r="G207" s="35" t="inlineStr">
        <is>
          <t>Примечание</t>
        </is>
      </c>
      <c r="H207" s="33" t="n"/>
      <c r="I207" s="33" t="n"/>
      <c r="J207" s="33" t="n"/>
      <c r="K207" s="33" t="n"/>
      <c r="L207" s="33" t="n"/>
      <c r="M207" s="33" t="n"/>
      <c r="N207" s="33" t="n"/>
      <c r="O207" s="33" t="n"/>
      <c r="P207" s="33" t="n"/>
    </row>
    <row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3" t="n"/>
      <c r="P208" s="33" t="n"/>
    </row>
    <row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3" t="n"/>
      <c r="P209" s="33" t="n"/>
    </row>
    <row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3" t="n"/>
      <c r="P210" s="33" t="n"/>
    </row>
    <row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3" t="n"/>
      <c r="P211" s="33" t="n"/>
    </row>
    <row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3" t="n"/>
      <c r="P212" s="33" t="n"/>
    </row>
    <row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3" t="n"/>
      <c r="P213" s="33" t="n"/>
    </row>
    <row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3" t="n"/>
      <c r="P214" s="33" t="n"/>
    </row>
    <row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3" t="n"/>
      <c r="P215" s="33" t="n"/>
    </row>
    <row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3" t="n"/>
      <c r="P216" s="33" t="n"/>
    </row>
    <row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3" t="n"/>
      <c r="P217" s="33" t="n"/>
    </row>
    <row r="218">
      <c r="A218" s="33" t="n"/>
      <c r="B218" s="33" t="n"/>
      <c r="C218" s="33" t="n"/>
      <c r="D218" s="33" t="n"/>
      <c r="E218" s="33" t="n"/>
      <c r="F218" s="33" t="n"/>
      <c r="G218" s="33" t="n"/>
      <c r="H218" s="33" t="n"/>
      <c r="I218" s="33" t="n"/>
      <c r="J218" s="33" t="n"/>
      <c r="K218" s="33" t="n"/>
      <c r="L218" s="33" t="n"/>
      <c r="M218" s="33" t="n"/>
      <c r="N218" s="33" t="n"/>
      <c r="O218" s="33" t="n"/>
      <c r="P218" s="33" t="n"/>
    </row>
    <row r="219">
      <c r="A219" s="33" t="n"/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3" t="n"/>
      <c r="M219" s="33" t="n"/>
      <c r="N219" s="33" t="n"/>
      <c r="O219" s="33" t="n"/>
      <c r="P219" s="33" t="n"/>
    </row>
    <row r="220">
      <c r="A220" s="33" t="n"/>
      <c r="B220" s="33" t="n"/>
      <c r="C220" s="33" t="n"/>
      <c r="D220" s="33" t="n"/>
      <c r="E220" s="33" t="n"/>
      <c r="F220" s="33" t="n"/>
      <c r="G220" s="33" t="n"/>
      <c r="H220" s="33" t="n"/>
      <c r="I220" s="33" t="n"/>
      <c r="J220" s="33" t="n"/>
      <c r="K220" s="33" t="n"/>
      <c r="L220" s="33" t="n"/>
      <c r="M220" s="33" t="n"/>
      <c r="N220" s="33" t="n"/>
      <c r="O220" s="33" t="n"/>
      <c r="P220" s="33" t="n"/>
    </row>
    <row r="221">
      <c r="A221" s="33" t="n"/>
      <c r="B221" s="33" t="n"/>
      <c r="C221" s="33" t="n"/>
      <c r="D221" s="33" t="n"/>
      <c r="E221" s="33" t="n"/>
      <c r="F221" s="33" t="n"/>
      <c r="G221" s="33" t="n"/>
      <c r="H221" s="33" t="n"/>
      <c r="I221" s="33" t="n"/>
      <c r="J221" s="33" t="n"/>
      <c r="K221" s="33" t="n"/>
      <c r="L221" s="33" t="n"/>
      <c r="M221" s="33" t="n"/>
      <c r="N221" s="33" t="n"/>
      <c r="O221" s="33" t="n"/>
      <c r="P221" s="33" t="n"/>
    </row>
    <row r="222">
      <c r="A222" s="33" t="n"/>
      <c r="B222" s="33" t="n"/>
      <c r="C222" s="33" t="n"/>
      <c r="D222" s="33" t="n"/>
      <c r="E222" s="33" t="n"/>
      <c r="F222" s="33" t="n"/>
      <c r="G222" s="33" t="n"/>
      <c r="H222" s="33" t="n"/>
      <c r="I222" s="33" t="n"/>
      <c r="J222" s="33" t="n"/>
      <c r="K222" s="33" t="n"/>
      <c r="L222" s="33" t="n"/>
      <c r="M222" s="33" t="n"/>
      <c r="N222" s="33" t="n"/>
      <c r="O222" s="33" t="n"/>
      <c r="P222" s="33" t="n"/>
    </row>
    <row r="223">
      <c r="A223" s="33" t="n"/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3" t="n"/>
      <c r="M223" s="33" t="n"/>
      <c r="N223" s="33" t="n"/>
      <c r="O223" s="33" t="n"/>
      <c r="P223" s="33" t="n"/>
    </row>
    <row r="224">
      <c r="A224" s="33" t="n"/>
      <c r="B224" s="33" t="n"/>
      <c r="C224" s="33" t="n"/>
      <c r="D224" s="33" t="n"/>
      <c r="E224" s="33" t="n"/>
      <c r="F224" s="33" t="n"/>
      <c r="G224" s="33" t="n"/>
      <c r="H224" s="33" t="n"/>
      <c r="I224" s="33" t="n"/>
      <c r="J224" s="33" t="n"/>
      <c r="K224" s="33" t="n"/>
      <c r="L224" s="33" t="n"/>
      <c r="M224" s="33" t="n"/>
      <c r="N224" s="33" t="n"/>
      <c r="O224" s="33" t="n"/>
      <c r="P224" s="33" t="n"/>
    </row>
    <row r="225">
      <c r="A225" s="33" t="n"/>
      <c r="B225" s="33" t="n"/>
      <c r="C225" s="33" t="n"/>
      <c r="D225" s="33" t="n"/>
      <c r="E225" s="33" t="n"/>
      <c r="F225" s="33" t="n"/>
      <c r="G225" s="33" t="n"/>
      <c r="H225" s="33" t="n"/>
      <c r="I225" s="33" t="n"/>
      <c r="J225" s="33" t="n"/>
      <c r="K225" s="33" t="n"/>
      <c r="L225" s="33" t="n"/>
      <c r="M225" s="33" t="n"/>
      <c r="N225" s="33" t="n"/>
      <c r="O225" s="33" t="n"/>
      <c r="P225" s="33" t="n"/>
    </row>
    <row r="226">
      <c r="A226" s="33" t="n"/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  <c r="M226" s="33" t="n"/>
      <c r="N226" s="33" t="n"/>
      <c r="O226" s="33" t="n"/>
      <c r="P226" s="33" t="n"/>
    </row>
    <row r="227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33" t="n"/>
    </row>
    <row r="228">
      <c r="A228" s="33" t="n"/>
      <c r="B228" s="33" t="n"/>
      <c r="C228" s="33" t="n"/>
      <c r="D228" s="33" t="n"/>
      <c r="E228" s="33" t="n"/>
      <c r="F228" s="33" t="n"/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33" t="n"/>
    </row>
    <row r="229">
      <c r="A229" s="33" t="n"/>
      <c r="B229" s="33" t="n"/>
      <c r="C229" s="33" t="n"/>
      <c r="D229" s="33" t="n"/>
      <c r="E229" s="33" t="n"/>
      <c r="F229" s="33" t="n"/>
      <c r="G229" s="33" t="n"/>
      <c r="H229" s="33" t="n"/>
      <c r="I229" s="33" t="n"/>
      <c r="J229" s="33" t="n"/>
      <c r="K229" s="33" t="n"/>
      <c r="L229" s="33" t="n"/>
      <c r="M229" s="33" t="n"/>
      <c r="N229" s="33" t="n"/>
      <c r="O229" s="33" t="n"/>
      <c r="P229" s="33" t="n"/>
    </row>
    <row r="230">
      <c r="A230" s="33" t="n"/>
      <c r="B230" s="33" t="n"/>
      <c r="C230" s="33" t="n"/>
      <c r="D230" s="33" t="n"/>
      <c r="E230" s="33" t="n"/>
      <c r="F230" s="33" t="n"/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33" t="n"/>
    </row>
  </sheetData>
  <mergeCells count="16">
    <mergeCell ref="A30:N30"/>
    <mergeCell ref="A182:N182"/>
    <mergeCell ref="B6:N6"/>
    <mergeCell ref="A1:N1"/>
    <mergeCell ref="A124:N124"/>
    <mergeCell ref="A78:N78"/>
    <mergeCell ref="A8:C8"/>
    <mergeCell ref="A17:C17"/>
    <mergeCell ref="A7:N7"/>
    <mergeCell ref="A193:N193"/>
    <mergeCell ref="A189:N189"/>
    <mergeCell ref="A3:N3"/>
    <mergeCell ref="E8:H8"/>
    <mergeCell ref="A106:N106"/>
    <mergeCell ref="A206:N206"/>
    <mergeCell ref="E17:G17"/>
  </mergeCells>
  <dataValidations count="15">
    <dataValidation sqref="B5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Смены" prompt="Выберите значение из выпадающего списка." type="list">
      <formula1>'Справочники'!$B$2:$C$2</formula1>
    </dataValidation>
    <dataValidation sqref="C5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Участки" prompt="Выберите значение из выпадающего списка." type="list">
      <formula1>'Справочники'!$B$3:$I$3</formula1>
    </dataValidation>
    <dataValidation sqref="D5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Направления" prompt="Выберите значение из выпадающего списка." type="list">
      <formula1>'Справочники'!$B$4:$C$4</formula1>
    </dataValidation>
    <dataValidation sqref="G32:G76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Материалы" prompt="Выберите значение из выпадающего списка." type="list">
      <formula1>'Справочники'!$B$5:$G$5</formula1>
    </dataValidation>
    <dataValidation sqref="E32:E76 J108:J122 K80:K104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Владельцы" prompt="Выберите значение из выпадающего списка." type="list">
      <formula1>'Справочники'!$B$6:$E$6</formula1>
    </dataValidation>
    <dataValidation sqref="A126:A180 B32:B76 G108:G122 H80:H104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ТипТехники" prompt="Выберите значение из выпадающего списка." type="list">
      <formula1>'Справочники'!$B$7:$G$7</formula1>
    </dataValidation>
    <dataValidation sqref="B126:B180 C32:C76 H108:H122 I80:I104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Модели" prompt="Выберите значение из выпадающего списка." type="list">
      <formula1>'Справочники'!$B$8:$Q$8</formula1>
    </dataValidation>
    <dataValidation sqref="H32:I76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Локации" prompt="Выберите значение из выпадающего списка." type="list">
      <formula1>'Справочники'!$B$9:$R$9</formula1>
    </dataValidation>
    <dataValidation sqref="A80:A104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Конструктивы" prompt="Выберите значение из выпадающего списка." type="list">
      <formula1>'Справочники'!$B$10:$K$10</formula1>
    </dataValidation>
    <dataValidation sqref="A108:A122 B80:B104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ВидыРабот" prompt="Выберите значение из выпадающего списка." type="list">
      <formula1>'Справочники'!$B$11:$Q$11</formula1>
    </dataValidation>
    <dataValidation sqref="D195:D204 L32:L76 L108:L122 M80:M104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ЕдИзм" prompt="Выберите значение из выпадающего списка." type="list">
      <formula1>'Справочники'!$B$12:$F$12</formula1>
    </dataValidation>
    <dataValidation sqref="E126:E180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СтатусТехники" prompt="Выберите значение из выпадающего списка." type="list">
      <formula1>'Справочники'!$B$13:$G$13</formula1>
    </dataValidation>
    <dataValidation sqref="A195:A204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Накопители" prompt="Выберите значение из выпадающего списка." type="list">
      <formula1>'Справочники'!$B$15:$E$15</formula1>
    </dataValidation>
    <dataValidation sqref="C208:C217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ТипСвайныхРабот" prompt="Выберите значение из выпадающего списка." type="list">
      <formula1>'Справочники'!$B$16:$C$16</formula1>
    </dataValidation>
    <dataValidation sqref="F208:F217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СоставнаяСвая" prompt="Выберите значение из выпадающего списка." type="list">
      <formula1>'Справочники'!$B$17:$D$17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0"/>
  <sheetViews>
    <sheetView showGridLines="0" tabSelected="1" zoomScaleNormal="100" workbookViewId="0">
      <pane ySplit="30" topLeftCell="A31" activePane="bottomLeft" state="frozen"/>
      <selection pane="bottomLeft" activeCell="J74" sqref="J74"/>
    </sheetView>
  </sheetViews>
  <sheetFormatPr baseColWidth="8" defaultColWidth="8.7109375" defaultRowHeight="15"/>
  <cols>
    <col width="24" customWidth="1" min="1" max="1"/>
    <col width="18" customWidth="1" min="2" max="4"/>
    <col width="18" customWidth="1" min="3" max="3"/>
    <col width="18" customWidth="1" min="4" max="4"/>
    <col width="20" customWidth="1" min="5" max="5"/>
    <col width="20" customWidth="1" min="6" max="6"/>
    <col width="20" customWidth="1" min="7" max="7"/>
    <col width="28" customWidth="1" min="8" max="8"/>
    <col width="28" customWidth="1" min="9" max="9"/>
    <col width="16" customWidth="1" min="10" max="10"/>
    <col width="14" customWidth="1" min="11" max="11"/>
    <col width="12" customWidth="1" min="12" max="12"/>
    <col width="12" customWidth="1" min="13" max="13"/>
    <col width="24" customWidth="1" min="14" max="14"/>
    <col width="16" customWidth="1" min="15" max="15"/>
  </cols>
  <sheetData>
    <row r="1" ht="27.75" customHeight="1">
      <c r="A1" s="30" t="inlineStr">
        <is>
          <t>ДЕЖУРНЫЙ ОТЧЁТ ПО УЧАСТКУ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2" t="n"/>
      <c r="O1" s="33" t="n"/>
      <c r="P1" s="33" t="n"/>
    </row>
    <row r="2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21.75" customHeight="1">
      <c r="A3" s="34" t="inlineStr">
        <is>
          <t>1. ШАПКА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2" t="n"/>
      <c r="O3" s="33" t="n"/>
      <c r="P3" s="33" t="n"/>
    </row>
    <row r="4" ht="27.75" customHeight="1">
      <c r="A4" s="35" t="inlineStr">
        <is>
          <t>Дата</t>
        </is>
      </c>
      <c r="B4" s="35" t="inlineStr">
        <is>
          <t>Смена</t>
        </is>
      </c>
      <c r="C4" s="35" t="inlineStr">
        <is>
          <t>Участок</t>
        </is>
      </c>
      <c r="D4" s="35" t="inlineStr">
        <is>
          <t>Направление</t>
        </is>
      </c>
      <c r="E4" s="35" t="inlineStr">
        <is>
          <t>Конструктивы (через ;)</t>
        </is>
      </c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</row>
    <row r="5" ht="21.75" customHeight="1">
      <c r="A5" s="36" t="inlineStr">
        <is>
          <t>04.05.2026</t>
        </is>
      </c>
      <c r="B5" s="37" t="inlineStr">
        <is>
          <t>день</t>
        </is>
      </c>
      <c r="C5" s="37" t="inlineStr">
        <is>
          <t>участок №1</t>
        </is>
      </c>
      <c r="D5" s="37" t="inlineStr">
        <is>
          <t>ЗП</t>
        </is>
      </c>
      <c r="E5" s="37" t="inlineStr">
        <is>
          <t>АД9, АД6, АД5, стартовая площадка участка усиления 5.2, ОХ, стартовые площадки участков усиления №18 и №19</t>
        </is>
      </c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3" t="n"/>
      <c r="P5" s="33" t="n"/>
    </row>
    <row r="6">
      <c r="A6" s="37" t="inlineStr">
        <is>
          <t>Информация по завозу</t>
        </is>
      </c>
      <c r="B6" s="37" t="inlineStr">
        <is>
          <t>Карьер Васильки - песок - 666 м3; Карьер Миголощи - ЩПГС - 999 м3</t>
        </is>
      </c>
      <c r="C6" s="38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9" t="n"/>
      <c r="O6" s="33" t="n"/>
      <c r="P6" s="33" t="n"/>
    </row>
    <row r="7" ht="21.75" customHeight="1">
      <c r="A7" s="40" t="inlineStr">
        <is>
          <t>ИТОГИ СМЕНЫ  (считаются автоматически — зеленые ячейки не править)</t>
        </is>
      </c>
      <c r="B7" s="31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2" t="n"/>
      <c r="O7" s="33" t="n"/>
      <c r="P7" s="33" t="n"/>
    </row>
    <row r="8" ht="15" customHeight="1">
      <c r="A8" s="40" t="inlineStr">
        <is>
          <t>Перевозка — по материалам</t>
        </is>
      </c>
      <c r="B8" s="31" t="n"/>
      <c r="C8" s="32" t="n"/>
      <c r="D8" s="33" t="n"/>
      <c r="E8" s="40" t="inlineStr">
        <is>
          <t>Работы — суммарные объёмы</t>
        </is>
      </c>
      <c r="F8" s="31" t="n"/>
      <c r="G8" s="31" t="n"/>
      <c r="H8" s="32" t="n"/>
      <c r="I8" s="33" t="n"/>
      <c r="J8" s="33" t="n"/>
      <c r="K8" s="33" t="n"/>
      <c r="L8" s="33" t="n"/>
      <c r="M8" s="33" t="n"/>
      <c r="N8" s="33" t="n"/>
      <c r="O8" s="33" t="n"/>
      <c r="P8" s="33" t="n"/>
    </row>
    <row r="9">
      <c r="A9" s="35" t="inlineStr">
        <is>
          <t>Материал</t>
        </is>
      </c>
      <c r="B9" s="35" t="inlineStr">
        <is>
          <t>Объём</t>
        </is>
      </c>
      <c r="C9" s="35" t="inlineStr">
        <is>
          <t>Рейсов</t>
        </is>
      </c>
      <c r="D9" s="35" t="inlineStr"/>
      <c r="E9" s="35" t="inlineStr">
        <is>
          <t>Раздел</t>
        </is>
      </c>
      <c r="F9" s="35" t="inlineStr">
        <is>
          <t>м3</t>
        </is>
      </c>
      <c r="G9" s="35" t="inlineStr">
        <is>
          <t>м2</t>
        </is>
      </c>
      <c r="H9" s="35" t="inlineStr">
        <is>
          <t>м</t>
        </is>
      </c>
      <c r="I9" s="35" t="inlineStr"/>
      <c r="J9" s="35" t="inlineStr"/>
      <c r="K9" s="35" t="inlineStr"/>
      <c r="L9" s="35" t="inlineStr"/>
      <c r="M9" s="35" t="inlineStr"/>
      <c r="N9" s="35" t="inlineStr"/>
      <c r="O9" s="33" t="n"/>
      <c r="P9" s="33" t="n"/>
    </row>
    <row r="10">
      <c r="A10" s="41" t="inlineStr">
        <is>
          <t>песок</t>
        </is>
      </c>
      <c r="B10" s="42">
        <f>SUMIFS(K32:K76,H32:H76,A10,L32:L76,"м3")</f>
        <v/>
      </c>
      <c r="C10" s="43">
        <f>SUMIFS(M32:M76,H32:H76,A10)</f>
        <v/>
      </c>
      <c r="D10" s="33" t="n"/>
      <c r="E10" s="41" t="inlineStr">
        <is>
          <t>Основные работы</t>
        </is>
      </c>
      <c r="F10" s="42">
        <f>SUMIFS(M80:M104,N80:N104,"м3")</f>
        <v/>
      </c>
      <c r="G10" s="42">
        <f>SUMIFS(M80:M104,N80:N104,"м2")</f>
        <v/>
      </c>
      <c r="H10" s="42">
        <f>SUMIFS(M80:M104,N80:N104,"м")</f>
        <v/>
      </c>
      <c r="I10" s="33" t="n"/>
      <c r="J10" s="33" t="n"/>
      <c r="K10" s="33" t="n"/>
      <c r="L10" s="33" t="n"/>
      <c r="M10" s="33" t="n"/>
      <c r="N10" s="33" t="n"/>
      <c r="O10" s="33" t="n"/>
      <c r="P10" s="33" t="n"/>
    </row>
    <row r="11">
      <c r="A11" s="41" t="inlineStr">
        <is>
          <t>ЩПГС</t>
        </is>
      </c>
      <c r="B11" s="42">
        <f>SUMIFS(K32:K76,H32:H76,A11,L32:L76,"м3")</f>
        <v/>
      </c>
      <c r="C11" s="43">
        <f>SUMIFS(M32:M76,H32:H76,A11)</f>
        <v/>
      </c>
      <c r="D11" s="33" t="n"/>
      <c r="E11" s="41" t="inlineStr">
        <is>
          <t>Сопутствующие работы</t>
        </is>
      </c>
      <c r="F11" s="42">
        <f>SUMIFS(K108:K122,L108:L122,"м3")</f>
        <v/>
      </c>
      <c r="G11" s="42">
        <f>SUMIFS(K108:K122,L108:L122,"м2")</f>
        <v/>
      </c>
      <c r="H11" s="42">
        <f>SUMIFS(K108:K122,L108:L122,"м")</f>
        <v/>
      </c>
      <c r="I11" s="33" t="n"/>
      <c r="J11" s="33" t="n"/>
      <c r="K11" s="33" t="n"/>
      <c r="L11" s="33" t="n"/>
      <c r="M11" s="33" t="n"/>
      <c r="N11" s="33" t="n"/>
      <c r="O11" s="33" t="n"/>
      <c r="P11" s="33" t="n"/>
    </row>
    <row r="12">
      <c r="A12" s="41" t="inlineStr">
        <is>
          <t>грунт</t>
        </is>
      </c>
      <c r="B12" s="42">
        <f>SUMIFS(K32:K76,H32:H76,A12,L32:L76,"м3")</f>
        <v/>
      </c>
      <c r="C12" s="43">
        <f>SUMIFS(M32:M76,H32:H76,A12)</f>
        <v/>
      </c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</row>
    <row r="13">
      <c r="A13" s="41" t="inlineStr">
        <is>
          <t>скальный грунт</t>
        </is>
      </c>
      <c r="B13" s="42">
        <f>SUMIFS(K32:K76,H32:H76,A13,L32:L76,"м3")</f>
        <v/>
      </c>
      <c r="C13" s="43">
        <f>SUMIFS(M32:M76,H32:H76,A13)</f>
        <v/>
      </c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</row>
    <row r="14">
      <c r="A14" s="33" t="n"/>
      <c r="B14" s="44" t="n"/>
      <c r="C14" s="45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</row>
    <row r="15">
      <c r="A15" s="41" t="inlineStr">
        <is>
          <t>ИТОГО по перевозке</t>
        </is>
      </c>
      <c r="B15" s="42">
        <f>SUM(B10:B14)</f>
        <v/>
      </c>
      <c r="C15" s="43">
        <f>SUM(C10:C14)</f>
        <v/>
      </c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</row>
    <row r="17" ht="15" customHeight="1">
      <c r="A17" s="40" t="inlineStr">
        <is>
          <t>Перевозка — по направлениям (Куда)</t>
        </is>
      </c>
      <c r="B17" s="31" t="n"/>
      <c r="C17" s="32" t="n"/>
      <c r="D17" s="33" t="n"/>
      <c r="E17" s="40" t="inlineStr">
        <is>
          <t>Парк техники — по статусам</t>
        </is>
      </c>
      <c r="F17" s="31" t="n"/>
      <c r="G17" s="32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</row>
    <row r="18">
      <c r="A18" s="35" t="inlineStr">
        <is>
          <t>Куда</t>
        </is>
      </c>
      <c r="B18" s="35" t="inlineStr">
        <is>
          <t>Объём</t>
        </is>
      </c>
      <c r="C18" s="35" t="inlineStr">
        <is>
          <t>Рейсов</t>
        </is>
      </c>
      <c r="D18" s="35" t="inlineStr"/>
      <c r="E18" s="35" t="inlineStr">
        <is>
          <t>Статус</t>
        </is>
      </c>
      <c r="F18" s="35" t="inlineStr">
        <is>
          <t>Единиц</t>
        </is>
      </c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</row>
    <row r="19">
      <c r="A19" s="41" t="inlineStr">
        <is>
          <t>АД5 ПК51+20-ПК53+20</t>
        </is>
      </c>
      <c r="B19" s="42">
        <f>SUMIFS(K32:K76,J32:J76,A19,L32:L76,"м3")</f>
        <v/>
      </c>
      <c r="C19" s="43">
        <f>SUMIFS(M32:M76,J32:J76,A19)</f>
        <v/>
      </c>
      <c r="D19" s="33" t="n"/>
      <c r="E19" s="41" t="inlineStr">
        <is>
          <t>в работе</t>
        </is>
      </c>
      <c r="F19" s="43">
        <f>COUNTIF(E126:E180,E19)</f>
        <v/>
      </c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</row>
    <row r="20">
      <c r="A20" s="41" t="inlineStr">
        <is>
          <t>накопитель песка АД13 ПК2715+00</t>
        </is>
      </c>
      <c r="B20" s="42">
        <f>SUMIFS(K32:K76,J32:J76,A20,L32:L76,"м3")</f>
        <v/>
      </c>
      <c r="C20" s="43">
        <f>SUMIFS(M32:M76,J32:J76,A20)</f>
        <v/>
      </c>
      <c r="D20" s="33" t="n"/>
      <c r="E20" s="41" t="inlineStr">
        <is>
          <t>ремонт</t>
        </is>
      </c>
      <c r="F20" s="43">
        <f>COUNTIF(E126:E180,E20)</f>
        <v/>
      </c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</row>
    <row r="21">
      <c r="A21" s="41" t="inlineStr">
        <is>
          <t>участок усиления 5.2</t>
        </is>
      </c>
      <c r="B21" s="42">
        <f>SUMIFS(K32:K76,J32:J76,A21,L32:L76,"м3")</f>
        <v/>
      </c>
      <c r="C21" s="43">
        <f>SUMIFS(M32:M76,J32:J76,A21)</f>
        <v/>
      </c>
      <c r="D21" s="33" t="n"/>
      <c r="E21" s="41" t="inlineStr">
        <is>
          <t>простой</t>
        </is>
      </c>
      <c r="F21" s="43">
        <f>COUNTIF(E126:E180,E21)</f>
        <v/>
      </c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</row>
    <row r="22">
      <c r="A22" s="41" t="inlineStr">
        <is>
          <t>АД5 тех. проезд к АД13</t>
        </is>
      </c>
      <c r="B22" s="42">
        <f>SUMIFS(K32:K76,J32:J76,A22,L32:L76,"м3")</f>
        <v/>
      </c>
      <c r="C22" s="43">
        <f>SUMIFS(M32:M76,J32:J76,A22)</f>
        <v/>
      </c>
      <c r="D22" s="33" t="n"/>
      <c r="E22" s="41" t="inlineStr">
        <is>
          <t>резерв</t>
        </is>
      </c>
      <c r="F22" s="43">
        <f>COUNTIF(E126:E180,E22)</f>
        <v/>
      </c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</row>
    <row r="23">
      <c r="A23" s="41" t="inlineStr">
        <is>
          <t>АД6 накопитель ЩПГС ПК2687+00</t>
        </is>
      </c>
      <c r="B23" s="42">
        <f>SUMIFS(K32:K76,J32:J76,A23,L32:L76,"м3")</f>
        <v/>
      </c>
      <c r="C23" s="43">
        <f>SUMIFS(M32:M76,J32:J76,A23)</f>
        <v/>
      </c>
      <c r="D23" s="33" t="n"/>
      <c r="E23" s="41" t="inlineStr">
        <is>
          <t>без экипажа</t>
        </is>
      </c>
      <c r="F23" s="43">
        <f>COUNTIF(E126:E180,E23)</f>
        <v/>
      </c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</row>
    <row r="24">
      <c r="A24" s="33" t="n"/>
      <c r="B24" s="44" t="n"/>
      <c r="C24" s="45" t="n"/>
      <c r="D24" s="33" t="n"/>
      <c r="E24" s="41" t="inlineStr">
        <is>
          <t>переброска на ИССО</t>
        </is>
      </c>
      <c r="F24" s="43">
        <f>COUNTIF(E126:E180,E24)</f>
        <v/>
      </c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</row>
    <row r="25">
      <c r="A25" s="33" t="n"/>
      <c r="B25" s="44" t="n"/>
      <c r="C25" s="45" t="n"/>
      <c r="D25" s="33" t="n"/>
      <c r="E25" s="33" t="n"/>
      <c r="F25" s="45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</row>
    <row r="26">
      <c r="A26" s="33" t="n"/>
      <c r="B26" s="44" t="n"/>
      <c r="C26" s="45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</row>
    <row r="27">
      <c r="A27" s="33" t="n"/>
      <c r="B27" s="44" t="n"/>
      <c r="C27" s="45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</row>
    <row r="30" ht="21.75" customHeight="1">
      <c r="A30" s="34" t="inlineStr">
        <is>
          <t>2. ПЕРЕВОЗКА  (одна строка = один маршрут одного водителя)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2" t="n"/>
      <c r="O30" s="33" t="n"/>
      <c r="P30" s="33" t="n"/>
    </row>
    <row r="31" ht="30" customHeight="1">
      <c r="A31" s="35" t="inlineStr">
        <is>
          <t>Водитель</t>
        </is>
      </c>
      <c r="B31" s="35" t="inlineStr">
        <is>
          <t>Тип ТС</t>
        </is>
      </c>
      <c r="C31" s="35" t="inlineStr">
        <is>
          <t>Модель</t>
        </is>
      </c>
      <c r="D31" s="35" t="inlineStr">
        <is>
          <t>Борт/госномер</t>
        </is>
      </c>
      <c r="E31" s="35" t="inlineStr">
        <is>
          <t>Владелец</t>
        </is>
      </c>
      <c r="F31" s="35" t="inlineStr">
        <is>
          <t>Примечание</t>
        </is>
      </c>
      <c r="G31" s="35" t="inlineStr">
        <is>
          <t>Материал</t>
        </is>
      </c>
      <c r="H31" s="35" t="inlineStr">
        <is>
          <t>Откуда</t>
        </is>
      </c>
      <c r="I31" s="35" t="inlineStr">
        <is>
          <t>Куда</t>
        </is>
      </c>
      <c r="J31" s="35" t="inlineStr">
        <is>
          <t>Объём</t>
        </is>
      </c>
      <c r="K31" s="35" t="inlineStr">
        <is>
          <t>Рейсов</t>
        </is>
      </c>
      <c r="L31" s="35" t="inlineStr">
        <is>
          <t>Ед. изм.</t>
        </is>
      </c>
      <c r="M31" s="33" t="n"/>
      <c r="N31" s="33" t="n"/>
      <c r="O31" s="33" t="n"/>
      <c r="P31" s="33" t="n"/>
    </row>
    <row r="32" ht="25.5" customHeight="1">
      <c r="A32" s="37" t="inlineStr">
        <is>
          <t>Степанов А. А</t>
        </is>
      </c>
      <c r="B32" s="37" t="inlineStr">
        <is>
          <t>Самосвал</t>
        </is>
      </c>
      <c r="C32" s="37" t="inlineStr">
        <is>
          <t>FAW</t>
        </is>
      </c>
      <c r="D32" s="37" t="inlineStr">
        <is>
          <t>913</t>
        </is>
      </c>
      <c r="E32" s="37" t="inlineStr">
        <is>
          <t>ЖДС</t>
        </is>
      </c>
      <c r="F32" s="37" t="inlineStr"/>
      <c r="G32" s="37" t="inlineStr">
        <is>
          <t>песок</t>
        </is>
      </c>
      <c r="H32" s="37" t="inlineStr">
        <is>
          <t>карьер Васильки</t>
        </is>
      </c>
      <c r="I32" s="37" t="inlineStr">
        <is>
          <t>АД5 ПК51+20-ПК53+20</t>
        </is>
      </c>
      <c r="J32" s="37" t="n">
        <v>111.1</v>
      </c>
      <c r="K32" s="37" t="n">
        <v>6</v>
      </c>
      <c r="L32" s="37" t="inlineStr">
        <is>
          <t>м3</t>
        </is>
      </c>
      <c r="M32" s="37" t="n"/>
      <c r="N32" s="37" t="n"/>
      <c r="O32" s="33" t="n"/>
      <c r="P32" s="33" t="n"/>
    </row>
    <row r="33" ht="25.5" customHeight="1">
      <c r="A33" s="37" t="inlineStr">
        <is>
          <t>Аминев В. В</t>
        </is>
      </c>
      <c r="B33" s="37" t="inlineStr">
        <is>
          <t>Самосвал</t>
        </is>
      </c>
      <c r="C33" s="37" t="inlineStr">
        <is>
          <t>FAW</t>
        </is>
      </c>
      <c r="D33" s="37" t="inlineStr">
        <is>
          <t>932</t>
        </is>
      </c>
      <c r="E33" s="37" t="inlineStr">
        <is>
          <t>ЖДС</t>
        </is>
      </c>
      <c r="F33" s="37" t="inlineStr"/>
      <c r="G33" s="37" t="inlineStr">
        <is>
          <t>грунт</t>
        </is>
      </c>
      <c r="H33" s="37" t="inlineStr">
        <is>
          <t>АД5 ПК2698+00</t>
        </is>
      </c>
      <c r="I33" s="37" t="inlineStr">
        <is>
          <t>АД5 тех. проезд к АД13</t>
        </is>
      </c>
      <c r="J33" s="37" t="n">
        <v>45</v>
      </c>
      <c r="K33" s="37" t="n">
        <v>5</v>
      </c>
      <c r="L33" s="37" t="inlineStr">
        <is>
          <t>м3</t>
        </is>
      </c>
      <c r="M33" s="37" t="n"/>
      <c r="N33" s="37" t="n"/>
      <c r="O33" s="33" t="n"/>
      <c r="P33" s="33" t="n"/>
    </row>
    <row r="34" ht="25.5" customHeight="1">
      <c r="A34" s="37" t="inlineStr">
        <is>
          <t>Аминев В. В</t>
        </is>
      </c>
      <c r="B34" s="37" t="inlineStr">
        <is>
          <t>Самосвал</t>
        </is>
      </c>
      <c r="C34" s="37" t="inlineStr">
        <is>
          <t>FAW</t>
        </is>
      </c>
      <c r="D34" s="37" t="inlineStr">
        <is>
          <t>932</t>
        </is>
      </c>
      <c r="E34" s="37" t="inlineStr">
        <is>
          <t>ЖДС</t>
        </is>
      </c>
      <c r="F34" s="37" t="inlineStr"/>
      <c r="G34" s="37" t="inlineStr">
        <is>
          <t>песок</t>
        </is>
      </c>
      <c r="H34" s="37" t="inlineStr">
        <is>
          <t>карьер Васильки</t>
        </is>
      </c>
      <c r="I34" s="37" t="inlineStr">
        <is>
          <t>накопитель песка АД13 ПК2715+00</t>
        </is>
      </c>
      <c r="J34" s="37" t="n">
        <v>53.1</v>
      </c>
      <c r="K34" s="37" t="n">
        <v>3</v>
      </c>
      <c r="L34" s="37" t="inlineStr">
        <is>
          <t>м3</t>
        </is>
      </c>
      <c r="M34" s="37" t="n"/>
      <c r="N34" s="37" t="n"/>
      <c r="O34" s="33" t="n"/>
      <c r="P34" s="33" t="n"/>
    </row>
    <row r="35" ht="38.25" customHeight="1">
      <c r="A35" s="37" t="inlineStr">
        <is>
          <t>Аминев В. В</t>
        </is>
      </c>
      <c r="B35" s="37" t="inlineStr">
        <is>
          <t>Самосвал</t>
        </is>
      </c>
      <c r="C35" s="37" t="inlineStr">
        <is>
          <t>FAW</t>
        </is>
      </c>
      <c r="D35" s="37" t="inlineStr">
        <is>
          <t>932</t>
        </is>
      </c>
      <c r="E35" s="37" t="inlineStr">
        <is>
          <t>ЖДС</t>
        </is>
      </c>
      <c r="F35" s="37" t="inlineStr"/>
      <c r="G35" s="37" t="inlineStr">
        <is>
          <t>песок</t>
        </is>
      </c>
      <c r="H35" s="37" t="inlineStr">
        <is>
          <t>накопитель песка АД13 ПК2715+00</t>
        </is>
      </c>
      <c r="I35" s="37" t="inlineStr">
        <is>
          <t>АД5 тех. проезд на АД13</t>
        </is>
      </c>
      <c r="J35" s="37" t="n">
        <v>24</v>
      </c>
      <c r="K35" s="37" t="n">
        <v>2</v>
      </c>
      <c r="L35" s="37" t="inlineStr">
        <is>
          <t>м3</t>
        </is>
      </c>
      <c r="M35" s="37" t="n"/>
      <c r="N35" s="37" t="n"/>
      <c r="O35" s="33" t="n"/>
      <c r="P35" s="33" t="n"/>
    </row>
    <row r="36" ht="38.25" customHeight="1">
      <c r="A36" s="37" t="inlineStr">
        <is>
          <t>Гладких К. А</t>
        </is>
      </c>
      <c r="B36" s="37" t="inlineStr">
        <is>
          <t>Самосвал</t>
        </is>
      </c>
      <c r="C36" s="37" t="inlineStr">
        <is>
          <t>FAW</t>
        </is>
      </c>
      <c r="D36" s="37" t="inlineStr">
        <is>
          <t>981</t>
        </is>
      </c>
      <c r="E36" s="37" t="inlineStr">
        <is>
          <t>ЖДС</t>
        </is>
      </c>
      <c r="F36" s="37" t="inlineStr"/>
      <c r="G36" s="37" t="inlineStr">
        <is>
          <t>грунт</t>
        </is>
      </c>
      <c r="H36" s="37" t="inlineStr">
        <is>
          <t>АД5 ПК2698+00</t>
        </is>
      </c>
      <c r="I36" s="37" t="inlineStr">
        <is>
          <t>АД5 тех. проезд к АД13</t>
        </is>
      </c>
      <c r="J36" s="37" t="n">
        <v>45</v>
      </c>
      <c r="K36" s="37" t="n">
        <v>5</v>
      </c>
      <c r="L36" s="37" t="inlineStr">
        <is>
          <t>м3</t>
        </is>
      </c>
      <c r="M36" s="37" t="n"/>
      <c r="N36" s="37" t="n"/>
      <c r="O36" s="33" t="n"/>
      <c r="P36" s="33" t="n"/>
    </row>
    <row r="37" ht="25.5" customHeight="1">
      <c r="A37" s="37" t="inlineStr">
        <is>
          <t>Гладких К. А</t>
        </is>
      </c>
      <c r="B37" s="37" t="inlineStr">
        <is>
          <t>Самосвал</t>
        </is>
      </c>
      <c r="C37" s="37" t="inlineStr">
        <is>
          <t>FAW</t>
        </is>
      </c>
      <c r="D37" s="37" t="inlineStr">
        <is>
          <t>981</t>
        </is>
      </c>
      <c r="E37" s="37" t="inlineStr">
        <is>
          <t>ЖДС</t>
        </is>
      </c>
      <c r="F37" s="37" t="inlineStr"/>
      <c r="G37" s="37" t="inlineStr">
        <is>
          <t>грунт</t>
        </is>
      </c>
      <c r="H37" s="37" t="inlineStr">
        <is>
          <t>накопитель ПК2715+00</t>
        </is>
      </c>
      <c r="I37" s="37" t="inlineStr">
        <is>
          <t>АД5 тех. проезд на АД13</t>
        </is>
      </c>
      <c r="J37" s="37" t="n">
        <v>144</v>
      </c>
      <c r="K37" s="37" t="n">
        <v>12</v>
      </c>
      <c r="L37" s="37" t="inlineStr">
        <is>
          <t>м3</t>
        </is>
      </c>
      <c r="M37" s="37" t="n"/>
      <c r="N37" s="37" t="n"/>
      <c r="O37" s="33" t="n"/>
      <c r="P37" s="33" t="n"/>
    </row>
    <row r="38" ht="25.5" customHeight="1">
      <c r="A38" s="37" t="inlineStr">
        <is>
          <t>н/д</t>
        </is>
      </c>
      <c r="B38" s="37" t="inlineStr">
        <is>
          <t>Самосвал</t>
        </is>
      </c>
      <c r="C38" s="37" t="inlineStr">
        <is>
          <t>FAW</t>
        </is>
      </c>
      <c r="D38" s="37" t="inlineStr">
        <is>
          <t>256</t>
        </is>
      </c>
      <c r="E38" s="37" t="inlineStr">
        <is>
          <t>ООО "Алмаз"</t>
        </is>
      </c>
      <c r="F38" s="37" t="inlineStr"/>
      <c r="G38" s="37" t="inlineStr">
        <is>
          <t>песок</t>
        </is>
      </c>
      <c r="H38" s="37" t="inlineStr">
        <is>
          <t>карьер Васильки</t>
        </is>
      </c>
      <c r="I38" s="37" t="inlineStr">
        <is>
          <t>АД5 ПК51+20-ПК53+20</t>
        </is>
      </c>
      <c r="J38" s="37" t="n">
        <v>173.8</v>
      </c>
      <c r="K38" s="37" t="n">
        <v>6</v>
      </c>
      <c r="L38" s="37" t="inlineStr">
        <is>
          <t>м3</t>
        </is>
      </c>
      <c r="M38" s="37" t="n"/>
      <c r="N38" s="37" t="n"/>
      <c r="O38" s="33" t="n"/>
      <c r="P38" s="33" t="n"/>
    </row>
    <row r="39" ht="25.5" customHeight="1">
      <c r="A39" s="37" t="inlineStr">
        <is>
          <t>н/д</t>
        </is>
      </c>
      <c r="B39" s="37" t="inlineStr">
        <is>
          <t>Самосвал</t>
        </is>
      </c>
      <c r="C39" s="37" t="inlineStr">
        <is>
          <t>FAW</t>
        </is>
      </c>
      <c r="D39" s="37" t="inlineStr">
        <is>
          <t>513</t>
        </is>
      </c>
      <c r="E39" s="37" t="inlineStr">
        <is>
          <t>ООО "Алмаз"</t>
        </is>
      </c>
      <c r="F39" s="37" t="inlineStr"/>
      <c r="G39" s="37" t="inlineStr">
        <is>
          <t>песок</t>
        </is>
      </c>
      <c r="H39" s="37" t="inlineStr">
        <is>
          <t>карьер Васильки</t>
        </is>
      </c>
      <c r="I39" s="37" t="inlineStr">
        <is>
          <t>АД5 ПК51+20-ПК53+20</t>
        </is>
      </c>
      <c r="J39" s="37" t="n">
        <v>55.1</v>
      </c>
      <c r="K39" s="37" t="n">
        <v>3</v>
      </c>
      <c r="L39" s="37" t="inlineStr">
        <is>
          <t>м3</t>
        </is>
      </c>
      <c r="M39" s="37" t="n"/>
      <c r="N39" s="37" t="n"/>
      <c r="O39" s="33" t="n"/>
      <c r="P39" s="33" t="n"/>
    </row>
    <row r="40" ht="25.5" customHeight="1">
      <c r="A40" s="37" t="inlineStr">
        <is>
          <t>н/д</t>
        </is>
      </c>
      <c r="B40" s="37" t="inlineStr">
        <is>
          <t>Самосвал</t>
        </is>
      </c>
      <c r="C40" s="37" t="inlineStr">
        <is>
          <t>FAW</t>
        </is>
      </c>
      <c r="D40" s="37" t="inlineStr">
        <is>
          <t>513</t>
        </is>
      </c>
      <c r="E40" s="37" t="inlineStr">
        <is>
          <t>ООО "Алмаз"</t>
        </is>
      </c>
      <c r="F40" s="37" t="inlineStr"/>
      <c r="G40" s="37" t="inlineStr">
        <is>
          <t>песок</t>
        </is>
      </c>
      <c r="H40" s="37" t="inlineStr">
        <is>
          <t>карьер Васильки</t>
        </is>
      </c>
      <c r="I40" s="37" t="inlineStr">
        <is>
          <t>накопитель песка АД13 ПК2715+00</t>
        </is>
      </c>
      <c r="J40" s="37" t="n">
        <v>55.1</v>
      </c>
      <c r="K40" s="37" t="n">
        <v>3</v>
      </c>
      <c r="L40" s="37" t="inlineStr">
        <is>
          <t>м3</t>
        </is>
      </c>
      <c r="M40" s="37" t="n"/>
      <c r="N40" s="37" t="n"/>
      <c r="O40" s="33" t="n"/>
      <c r="P40" s="33" t="n"/>
    </row>
    <row r="41" ht="25.5" customHeight="1">
      <c r="A41" s="37" t="inlineStr">
        <is>
          <t>Нурзалиев Е.Ж</t>
        </is>
      </c>
      <c r="B41" s="37" t="inlineStr">
        <is>
          <t>Самосвал</t>
        </is>
      </c>
      <c r="C41" s="37" t="inlineStr">
        <is>
          <t>HOWO</t>
        </is>
      </c>
      <c r="D41" s="37" t="inlineStr">
        <is>
          <t>099</t>
        </is>
      </c>
      <c r="E41" s="37" t="inlineStr">
        <is>
          <t>ООО «РейлЛогистик»</t>
        </is>
      </c>
      <c r="F41" s="37" t="inlineStr"/>
      <c r="G41" s="37" t="inlineStr">
        <is>
          <t>ЩПГС</t>
        </is>
      </c>
      <c r="H41" s="37" t="inlineStr">
        <is>
          <t>карьер Спасово</t>
        </is>
      </c>
      <c r="I41" s="37" t="inlineStr">
        <is>
          <t>накопитель песка АД6 ПК2687+00</t>
        </is>
      </c>
      <c r="J41" s="37" t="n">
        <v>88.75</v>
      </c>
      <c r="K41" s="37" t="n">
        <v>2</v>
      </c>
      <c r="L41" s="37" t="inlineStr">
        <is>
          <t>т</t>
        </is>
      </c>
      <c r="M41" s="37" t="n"/>
      <c r="N41" s="37" t="n"/>
      <c r="O41" s="33" t="n"/>
      <c r="P41" s="33" t="n"/>
    </row>
    <row r="42" ht="25.5" customHeight="1">
      <c r="A42" s="37" t="inlineStr">
        <is>
          <t>Александров А.А</t>
        </is>
      </c>
      <c r="B42" s="37" t="inlineStr">
        <is>
          <t>Самосвал</t>
        </is>
      </c>
      <c r="C42" s="37" t="inlineStr">
        <is>
          <t>HOWO</t>
        </is>
      </c>
      <c r="D42" s="37" t="inlineStr">
        <is>
          <t>067</t>
        </is>
      </c>
      <c r="E42" s="37" t="inlineStr">
        <is>
          <t>ООО «РейлЛогистик»</t>
        </is>
      </c>
      <c r="F42" s="37" t="inlineStr"/>
      <c r="G42" s="37" t="inlineStr">
        <is>
          <t>ЩПГС</t>
        </is>
      </c>
      <c r="H42" s="37" t="inlineStr">
        <is>
          <t>карьер Спасово</t>
        </is>
      </c>
      <c r="I42" s="37" t="inlineStr">
        <is>
          <t>АД6 накопитель ЩПГС ПК2687+00</t>
        </is>
      </c>
      <c r="J42" s="37" t="n">
        <v>88.5</v>
      </c>
      <c r="K42" s="37" t="n">
        <v>2</v>
      </c>
      <c r="L42" s="37" t="inlineStr">
        <is>
          <t>т</t>
        </is>
      </c>
      <c r="M42" s="37" t="n"/>
      <c r="N42" s="37" t="n"/>
      <c r="O42" s="33" t="n"/>
      <c r="P42" s="33" t="n"/>
    </row>
    <row r="43" ht="25.5" customHeight="1">
      <c r="A43" s="37" t="inlineStr">
        <is>
          <t>Садырбеков Н</t>
        </is>
      </c>
      <c r="B43" s="37" t="inlineStr">
        <is>
          <t>Самосвал</t>
        </is>
      </c>
      <c r="C43" s="37" t="inlineStr">
        <is>
          <t>FAW</t>
        </is>
      </c>
      <c r="D43" s="37" t="inlineStr">
        <is>
          <t>018</t>
        </is>
      </c>
      <c r="E43" s="37" t="inlineStr">
        <is>
          <t>ЖДС</t>
        </is>
      </c>
      <c r="F43" s="37" t="inlineStr"/>
      <c r="G43" s="37" t="inlineStr">
        <is>
          <t>песок</t>
        </is>
      </c>
      <c r="H43" s="37" t="inlineStr">
        <is>
          <t>карьер Васильки</t>
        </is>
      </c>
      <c r="I43" s="37" t="inlineStr">
        <is>
          <t>АД5 ПК51+20-ПК53+20</t>
        </is>
      </c>
      <c r="J43" s="37" t="n">
        <v>88.40000000000001</v>
      </c>
      <c r="K43" s="37" t="n">
        <v>5</v>
      </c>
      <c r="L43" s="37" t="inlineStr">
        <is>
          <t>м3</t>
        </is>
      </c>
      <c r="M43" s="37" t="n"/>
      <c r="N43" s="37" t="n"/>
      <c r="O43" s="33" t="n"/>
      <c r="P43" s="33" t="n"/>
    </row>
    <row r="44" ht="25.5" customHeight="1">
      <c r="A44" s="37" t="inlineStr">
        <is>
          <t>Садырбеков Н</t>
        </is>
      </c>
      <c r="B44" s="37" t="inlineStr">
        <is>
          <t>Самосвал</t>
        </is>
      </c>
      <c r="C44" s="37" t="inlineStr">
        <is>
          <t>FAW</t>
        </is>
      </c>
      <c r="D44" s="37" t="inlineStr">
        <is>
          <t>018</t>
        </is>
      </c>
      <c r="E44" s="37" t="inlineStr">
        <is>
          <t>ЖДС</t>
        </is>
      </c>
      <c r="F44" s="37" t="inlineStr"/>
      <c r="G44" s="37" t="inlineStr">
        <is>
          <t>песок</t>
        </is>
      </c>
      <c r="H44" s="37" t="inlineStr">
        <is>
          <t>карьер Васильки</t>
        </is>
      </c>
      <c r="I44" s="37" t="inlineStr">
        <is>
          <t>участок усиления 5.2</t>
        </is>
      </c>
      <c r="J44" s="37" t="n">
        <v>20</v>
      </c>
      <c r="K44" s="37" t="n">
        <v>1</v>
      </c>
      <c r="L44" s="37" t="inlineStr">
        <is>
          <t>м3</t>
        </is>
      </c>
      <c r="M44" s="37" t="n"/>
      <c r="N44" s="37" t="n"/>
      <c r="O44" s="33" t="n"/>
      <c r="P44" s="33" t="n"/>
    </row>
    <row r="45" ht="25.5" customHeight="1">
      <c r="A45" s="37" t="inlineStr">
        <is>
          <t>Степанов Д. В</t>
        </is>
      </c>
      <c r="B45" s="37" t="inlineStr">
        <is>
          <t>Самосвал</t>
        </is>
      </c>
      <c r="C45" s="37" t="inlineStr">
        <is>
          <t>FAW</t>
        </is>
      </c>
      <c r="D45" s="37" t="inlineStr">
        <is>
          <t>831</t>
        </is>
      </c>
      <c r="E45" s="37" t="inlineStr">
        <is>
          <t>ЖДС</t>
        </is>
      </c>
      <c r="F45" s="37" t="inlineStr"/>
      <c r="G45" s="37" t="inlineStr">
        <is>
          <t>песок</t>
        </is>
      </c>
      <c r="H45" s="37" t="inlineStr">
        <is>
          <t>карьер Васильки</t>
        </is>
      </c>
      <c r="I45" s="37" t="inlineStr">
        <is>
          <t>участок усиления 5.2</t>
        </is>
      </c>
      <c r="J45" s="37" t="n">
        <v>67.5</v>
      </c>
      <c r="K45" s="37" t="n">
        <v>5</v>
      </c>
      <c r="L45" s="37" t="inlineStr">
        <is>
          <t>м3</t>
        </is>
      </c>
      <c r="M45" s="37" t="n"/>
      <c r="N45" s="37" t="n"/>
      <c r="O45" s="33" t="n"/>
      <c r="P45" s="33" t="n"/>
    </row>
    <row r="46" ht="25.5" customHeight="1">
      <c r="A46" s="37" t="inlineStr">
        <is>
          <t>Газимагомедов Ш. М</t>
        </is>
      </c>
      <c r="B46" s="37" t="inlineStr">
        <is>
          <t>Самосвал</t>
        </is>
      </c>
      <c r="C46" s="37" t="inlineStr">
        <is>
          <t>FAW</t>
        </is>
      </c>
      <c r="D46" s="37" t="inlineStr">
        <is>
          <t>544</t>
        </is>
      </c>
      <c r="E46" s="37" t="inlineStr">
        <is>
          <t>ЖДС</t>
        </is>
      </c>
      <c r="F46" s="37" t="inlineStr"/>
      <c r="G46" s="37" t="inlineStr">
        <is>
          <t>грунт</t>
        </is>
      </c>
      <c r="H46" s="37" t="inlineStr">
        <is>
          <t>АД9 ПК2657+40</t>
        </is>
      </c>
      <c r="I46" s="37" t="inlineStr">
        <is>
          <t>накопитель грунта АД9 ПК2646+20</t>
        </is>
      </c>
      <c r="J46" s="37" t="n">
        <v>230</v>
      </c>
      <c r="K46" s="37" t="n">
        <v>23</v>
      </c>
      <c r="L46" s="37" t="inlineStr">
        <is>
          <t>м3</t>
        </is>
      </c>
      <c r="M46" s="37" t="n"/>
      <c r="N46" s="37" t="n"/>
      <c r="O46" s="33" t="n"/>
      <c r="P46" s="33" t="n"/>
    </row>
    <row r="47" ht="38.25" customHeight="1">
      <c r="A47" s="37" t="inlineStr">
        <is>
          <t>Газимагомедов Ш. М</t>
        </is>
      </c>
      <c r="B47" s="37" t="inlineStr">
        <is>
          <t>Самосвал</t>
        </is>
      </c>
      <c r="C47" s="37" t="inlineStr">
        <is>
          <t>FAW</t>
        </is>
      </c>
      <c r="D47" s="37" t="inlineStr">
        <is>
          <t>544</t>
        </is>
      </c>
      <c r="E47" s="37" t="inlineStr">
        <is>
          <t>ЖДС</t>
        </is>
      </c>
      <c r="F47" s="37" t="inlineStr"/>
      <c r="G47" s="37" t="inlineStr">
        <is>
          <t>песок</t>
        </is>
      </c>
      <c r="H47" s="37" t="inlineStr">
        <is>
          <t>карьер Васильки</t>
        </is>
      </c>
      <c r="I47" s="37" t="inlineStr">
        <is>
          <t>участок усиления 5.2</t>
        </is>
      </c>
      <c r="J47" s="37" t="n">
        <v>18.7</v>
      </c>
      <c r="K47" s="37" t="n">
        <v>1</v>
      </c>
      <c r="L47" s="37" t="inlineStr">
        <is>
          <t>м3</t>
        </is>
      </c>
      <c r="M47" s="37" t="n"/>
      <c r="N47" s="37" t="n"/>
      <c r="O47" s="33" t="n"/>
      <c r="P47" s="33" t="n"/>
    </row>
    <row r="48" ht="38.25" customHeight="1">
      <c r="A48" s="37" t="inlineStr">
        <is>
          <t>Томшин А.С</t>
        </is>
      </c>
      <c r="B48" s="37" t="inlineStr">
        <is>
          <t>Самосвал</t>
        </is>
      </c>
      <c r="C48" s="37" t="inlineStr">
        <is>
          <t>FAW</t>
        </is>
      </c>
      <c r="D48" s="37" t="inlineStr">
        <is>
          <t>017</t>
        </is>
      </c>
      <c r="E48" s="37" t="inlineStr">
        <is>
          <t>ЖДС</t>
        </is>
      </c>
      <c r="F48" s="37" t="inlineStr"/>
      <c r="G48" s="37" t="inlineStr">
        <is>
          <t>песок</t>
        </is>
      </c>
      <c r="H48" s="37" t="inlineStr">
        <is>
          <t>карьер Васильки</t>
        </is>
      </c>
      <c r="I48" s="37" t="inlineStr">
        <is>
          <t>АД5 ПК51+20-ПК53+20</t>
        </is>
      </c>
      <c r="J48" s="37" t="n">
        <v>107.9</v>
      </c>
      <c r="K48" s="37" t="n">
        <v>6</v>
      </c>
      <c r="L48" s="37" t="inlineStr">
        <is>
          <t>м3</t>
        </is>
      </c>
      <c r="M48" s="37" t="n"/>
      <c r="N48" s="37" t="n"/>
      <c r="O48" s="33" t="n"/>
      <c r="P48" s="33" t="n"/>
    </row>
    <row r="49" ht="25.5" customHeight="1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3" t="n"/>
      <c r="P49" s="33" t="n"/>
    </row>
    <row r="50" ht="25.5" customHeight="1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3" t="n"/>
      <c r="P50" s="33" t="n"/>
    </row>
    <row r="51" ht="25.5" customHeight="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3" t="n"/>
      <c r="P51" s="33" t="n"/>
    </row>
    <row r="52" ht="38.25" customHeight="1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3" t="n"/>
      <c r="P52" s="33" t="n"/>
    </row>
    <row r="53" ht="38.25" customHeight="1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3" t="n"/>
      <c r="P53" s="33" t="n"/>
    </row>
    <row r="54" ht="63.75" customHeight="1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3" t="n"/>
      <c r="P54" s="33" t="n"/>
    </row>
    <row r="55" ht="25.5" customHeight="1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3" t="n"/>
      <c r="P55" s="33" t="n"/>
    </row>
    <row r="56" ht="25.5" customHeight="1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3" t="n"/>
      <c r="P56" s="33" t="n"/>
    </row>
    <row r="57" ht="25.5" customHeight="1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3" t="n"/>
      <c r="P57" s="33" t="n"/>
    </row>
    <row r="58" ht="25.5" customHeight="1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3" t="n"/>
      <c r="P58" s="33" t="n"/>
    </row>
    <row r="59" ht="25.5" customHeight="1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3" t="n"/>
      <c r="P59" s="33" t="n"/>
    </row>
    <row r="60" ht="38.25" customHeight="1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3" t="n"/>
      <c r="P60" s="33" t="n"/>
    </row>
    <row r="61" ht="25.5" customHeight="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3" t="n"/>
      <c r="P61" s="33" t="n"/>
    </row>
    <row r="62" ht="25.5" customHeight="1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3" t="n"/>
      <c r="P62" s="33" t="n"/>
    </row>
    <row r="63" ht="25.5" customHeight="1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3" t="n"/>
      <c r="P63" s="33" t="n"/>
    </row>
    <row r="64" ht="25.5" customHeight="1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3" t="n"/>
      <c r="P64" s="33" t="n"/>
    </row>
    <row r="65" ht="25.5" customHeight="1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3" t="n"/>
      <c r="P65" s="33" t="n"/>
    </row>
    <row r="66" ht="25.5" customHeight="1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3" t="n"/>
      <c r="P66" s="33" t="n"/>
    </row>
    <row r="67" ht="25.5" customHeight="1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3" t="n"/>
      <c r="P67" s="33" t="n"/>
    </row>
    <row r="68" ht="25.5" customHeight="1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3" t="n"/>
      <c r="P68" s="33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3" t="n"/>
      <c r="P69" s="33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3" t="n"/>
      <c r="P70" s="33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3" t="n"/>
      <c r="P71" s="33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3" t="n"/>
      <c r="P72" s="33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3" t="n"/>
      <c r="P73" s="33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3" t="n"/>
      <c r="P74" s="33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3" t="n"/>
      <c r="P75" s="33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3" t="n"/>
      <c r="P76" s="33" t="n"/>
    </row>
    <row r="77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3" t="n"/>
      <c r="N77" s="33" t="n"/>
      <c r="O77" s="33" t="n"/>
      <c r="P77" s="33" t="n"/>
    </row>
    <row r="78" ht="21.75" customHeight="1">
      <c r="A78" s="34" t="inlineStr">
        <is>
          <t>3. ОСНОВНЫЕ РАБОТЫ  (работы, для которых рассчитывается производительность)</t>
        </is>
      </c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2" t="n"/>
      <c r="O78" s="33" t="n"/>
      <c r="P78" s="33" t="n"/>
    </row>
    <row r="79" ht="30" customHeight="1">
      <c r="A79" s="35" t="inlineStr">
        <is>
          <t>Конструктив</t>
        </is>
      </c>
      <c r="B79" s="35" t="inlineStr">
        <is>
          <t>Вид работ</t>
        </is>
      </c>
      <c r="C79" s="35" t="inlineStr">
        <is>
          <t>ПК ВСЖМ (от)</t>
        </is>
      </c>
      <c r="D79" s="35" t="inlineStr">
        <is>
          <t>ПК ВСЖМ (до)</t>
        </is>
      </c>
      <c r="E79" s="35" t="inlineStr">
        <is>
          <t>ПК АД (от)</t>
        </is>
      </c>
      <c r="F79" s="35" t="inlineStr">
        <is>
          <t>ПК АД (до)</t>
        </is>
      </c>
      <c r="G79" s="35" t="inlineStr">
        <is>
          <t>Оператор/машинист</t>
        </is>
      </c>
      <c r="H79" s="35" t="inlineStr">
        <is>
          <t>Тип техники</t>
        </is>
      </c>
      <c r="I79" s="35" t="inlineStr">
        <is>
          <t>Модель</t>
        </is>
      </c>
      <c r="J79" s="35" t="inlineStr">
        <is>
          <t>Борт/госномер</t>
        </is>
      </c>
      <c r="K79" s="35" t="inlineStr">
        <is>
          <t>Владелец</t>
        </is>
      </c>
      <c r="L79" s="35" t="inlineStr">
        <is>
          <t>Объём</t>
        </is>
      </c>
      <c r="M79" s="35" t="inlineStr">
        <is>
          <t>Ед. изм.</t>
        </is>
      </c>
      <c r="N79" s="35" t="inlineStr">
        <is>
          <t>Примечание</t>
        </is>
      </c>
      <c r="O79" s="33" t="n"/>
      <c r="P79" s="33" t="n"/>
    </row>
    <row r="80" ht="38.25" customHeight="1">
      <c r="A80" s="37" t="inlineStr">
        <is>
          <t>ОХ</t>
        </is>
      </c>
      <c r="B80" s="37" t="inlineStr">
        <is>
          <t>Разработка выемки</t>
        </is>
      </c>
      <c r="C80" s="37" t="inlineStr">
        <is>
          <t>ПК2654+50</t>
        </is>
      </c>
      <c r="D80" s="37" t="inlineStr">
        <is>
          <t>ПК2655+20</t>
        </is>
      </c>
      <c r="E80" s="37" t="inlineStr"/>
      <c r="F80" s="37" t="inlineStr"/>
      <c r="G80" s="37" t="inlineStr">
        <is>
          <t>Грошин А. В</t>
        </is>
      </c>
      <c r="H80" s="37" t="inlineStr">
        <is>
          <t>Экскаватор</t>
        </is>
      </c>
      <c r="I80" s="37" t="inlineStr">
        <is>
          <t>CAT 330</t>
        </is>
      </c>
      <c r="J80" s="37" t="inlineStr">
        <is>
          <t>7439</t>
        </is>
      </c>
      <c r="K80" s="37" t="inlineStr">
        <is>
          <t>ЖДС</t>
        </is>
      </c>
      <c r="L80" s="37" t="n">
        <v>620</v>
      </c>
      <c r="M80" s="37" t="inlineStr">
        <is>
          <t>м3</t>
        </is>
      </c>
      <c r="N80" s="37" t="inlineStr"/>
      <c r="O80" s="33" t="n"/>
      <c r="P80" s="33" t="n"/>
    </row>
    <row r="81" ht="25.5" customHeight="1">
      <c r="A81" s="37" t="inlineStr">
        <is>
          <t>ОХ</t>
        </is>
      </c>
      <c r="B81" s="37" t="inlineStr">
        <is>
          <t>Разработка выемки</t>
        </is>
      </c>
      <c r="C81" s="37" t="inlineStr">
        <is>
          <t>ПК2654+50</t>
        </is>
      </c>
      <c r="D81" s="37" t="inlineStr">
        <is>
          <t>ПК2655+20</t>
        </is>
      </c>
      <c r="E81" s="37" t="inlineStr"/>
      <c r="F81" s="37" t="inlineStr"/>
      <c r="G81" s="37" t="inlineStr">
        <is>
          <t>Егоров В.В</t>
        </is>
      </c>
      <c r="H81" s="37" t="inlineStr">
        <is>
          <t>Экскаватор</t>
        </is>
      </c>
      <c r="I81" s="37" t="inlineStr">
        <is>
          <t>CAT 330</t>
        </is>
      </c>
      <c r="J81" s="37" t="inlineStr">
        <is>
          <t>7438</t>
        </is>
      </c>
      <c r="K81" s="37" t="inlineStr">
        <is>
          <t>ЖДС</t>
        </is>
      </c>
      <c r="L81" s="37" t="n">
        <v>720</v>
      </c>
      <c r="M81" s="37" t="inlineStr">
        <is>
          <t>м3</t>
        </is>
      </c>
      <c r="N81" s="37" t="inlineStr"/>
      <c r="O81" s="33" t="n"/>
      <c r="P81" s="33" t="n"/>
    </row>
    <row r="82" ht="25.5" customHeight="1">
      <c r="A82" s="37" t="inlineStr">
        <is>
          <t>ОХ</t>
        </is>
      </c>
      <c r="B82" s="37" t="inlineStr">
        <is>
          <t>Разработка выемки</t>
        </is>
      </c>
      <c r="C82" s="37" t="inlineStr">
        <is>
          <t>ПК2654+50</t>
        </is>
      </c>
      <c r="D82" s="37" t="inlineStr">
        <is>
          <t>ПК2655+20</t>
        </is>
      </c>
      <c r="E82" s="37" t="inlineStr"/>
      <c r="F82" s="37" t="inlineStr"/>
      <c r="G82" s="37" t="inlineStr">
        <is>
          <t>Вернигоров Р. В</t>
        </is>
      </c>
      <c r="H82" s="37" t="inlineStr">
        <is>
          <t>Бульдозер</t>
        </is>
      </c>
      <c r="I82" s="37" t="inlineStr">
        <is>
          <t>SHANTUY</t>
        </is>
      </c>
      <c r="J82" s="37" t="inlineStr">
        <is>
          <t>7032</t>
        </is>
      </c>
      <c r="K82" s="37" t="inlineStr">
        <is>
          <t>ЖДС</t>
        </is>
      </c>
      <c r="L82" s="37" t="n">
        <v>1100</v>
      </c>
      <c r="M82" s="37" t="inlineStr">
        <is>
          <t>м3</t>
        </is>
      </c>
      <c r="N82" s="37" t="inlineStr"/>
      <c r="O82" s="33" t="n"/>
      <c r="P82" s="33" t="n"/>
    </row>
    <row r="83" ht="38.25" customHeight="1">
      <c r="A83" s="37" t="inlineStr">
        <is>
          <t>ОХ</t>
        </is>
      </c>
      <c r="B83" s="37" t="inlineStr">
        <is>
          <t>Разработка выемки</t>
        </is>
      </c>
      <c r="C83" s="37" t="inlineStr">
        <is>
          <t>ПК2654+50</t>
        </is>
      </c>
      <c r="D83" s="37" t="inlineStr">
        <is>
          <t>ПК2655+20</t>
        </is>
      </c>
      <c r="E83" s="37" t="inlineStr"/>
      <c r="F83" s="37" t="inlineStr"/>
      <c r="G83" s="37" t="inlineStr">
        <is>
          <t>Вишерский О. В</t>
        </is>
      </c>
      <c r="H83" s="37" t="inlineStr">
        <is>
          <t>Бульдозер</t>
        </is>
      </c>
      <c r="I83" s="37" t="inlineStr">
        <is>
          <t>SEM</t>
        </is>
      </c>
      <c r="J83" s="37" t="inlineStr">
        <is>
          <t>3944</t>
        </is>
      </c>
      <c r="K83" s="37" t="inlineStr">
        <is>
          <t>ЖДС</t>
        </is>
      </c>
      <c r="L83" s="37" t="n">
        <v>720</v>
      </c>
      <c r="M83" s="37" t="inlineStr">
        <is>
          <t>м3</t>
        </is>
      </c>
      <c r="N83" s="37" t="inlineStr"/>
      <c r="O83" s="33" t="n"/>
      <c r="P83" s="33" t="n"/>
    </row>
    <row r="84" ht="25.5" customHeight="1">
      <c r="A84" s="37" t="inlineStr">
        <is>
          <t>Стартовая площадка участка усиления №5.2</t>
        </is>
      </c>
      <c r="B84" s="37" t="inlineStr">
        <is>
          <t>Устройство насыпи из песка свайной площадки 5.2</t>
        </is>
      </c>
      <c r="C84" s="37" t="inlineStr">
        <is>
          <t>ПК2657+20</t>
        </is>
      </c>
      <c r="D84" s="37" t="inlineStr">
        <is>
          <t>ПК2658+00</t>
        </is>
      </c>
      <c r="E84" s="37" t="inlineStr"/>
      <c r="F84" s="37" t="inlineStr"/>
      <c r="G84" s="37" t="inlineStr">
        <is>
          <t>Вишерский О. В</t>
        </is>
      </c>
      <c r="H84" s="37" t="inlineStr">
        <is>
          <t>Бульдозер</t>
        </is>
      </c>
      <c r="I84" s="37" t="inlineStr">
        <is>
          <t>SEM</t>
        </is>
      </c>
      <c r="J84" s="37" t="inlineStr">
        <is>
          <t>3944</t>
        </is>
      </c>
      <c r="K84" s="37" t="inlineStr">
        <is>
          <t>ЖДС</t>
        </is>
      </c>
      <c r="L84" s="37" t="n">
        <v>124.3</v>
      </c>
      <c r="M84" s="37" t="inlineStr">
        <is>
          <t>м3</t>
        </is>
      </c>
      <c r="N84" s="37" t="inlineStr"/>
      <c r="O84" s="33" t="n"/>
      <c r="P84" s="33" t="n"/>
    </row>
    <row r="85" ht="25.5" customHeight="1">
      <c r="A85" s="37" t="inlineStr">
        <is>
          <t>Стартовая площадка участка усиления №5.2</t>
        </is>
      </c>
      <c r="B85" s="37" t="inlineStr">
        <is>
          <t>Уплотнение насыпи площадки свайного поля 5.2</t>
        </is>
      </c>
      <c r="C85" s="37" t="inlineStr">
        <is>
          <t>ПК2657+20</t>
        </is>
      </c>
      <c r="D85" s="37" t="inlineStr">
        <is>
          <t>ПК2658+00</t>
        </is>
      </c>
      <c r="E85" s="37" t="inlineStr"/>
      <c r="F85" s="37" t="inlineStr"/>
      <c r="G85" s="37" t="inlineStr">
        <is>
          <t>Вагабов Н</t>
        </is>
      </c>
      <c r="H85" s="37" t="inlineStr">
        <is>
          <t>Каток</t>
        </is>
      </c>
      <c r="I85" s="37" t="inlineStr">
        <is>
          <t>SANY 180</t>
        </is>
      </c>
      <c r="J85" s="37" t="inlineStr">
        <is>
          <t>3581</t>
        </is>
      </c>
      <c r="K85" s="37" t="inlineStr">
        <is>
          <t>ЖДС</t>
        </is>
      </c>
      <c r="L85" s="37" t="n">
        <v>2300</v>
      </c>
      <c r="M85" s="37" t="inlineStr">
        <is>
          <t>м2</t>
        </is>
      </c>
      <c r="N85" s="37" t="inlineStr"/>
      <c r="O85" s="33" t="n"/>
      <c r="P85" s="33" t="n"/>
    </row>
    <row r="86" ht="25.5" customHeight="1">
      <c r="A86" s="37" t="inlineStr">
        <is>
          <t>Стартовая площадка участка усиления №5.2</t>
        </is>
      </c>
      <c r="B86" s="37" t="inlineStr">
        <is>
          <t>Разработка грунта стартовой площадки с двойной перекидкой</t>
        </is>
      </c>
      <c r="C86" s="37" t="inlineStr">
        <is>
          <t>ПК2657+20</t>
        </is>
      </c>
      <c r="D86" s="37" t="inlineStr">
        <is>
          <t>ПК2658+00</t>
        </is>
      </c>
      <c r="E86" s="37" t="inlineStr"/>
      <c r="F86" s="37" t="inlineStr"/>
      <c r="G86" s="37" t="inlineStr">
        <is>
          <t>Макаркин В.А</t>
        </is>
      </c>
      <c r="H86" s="37" t="inlineStr">
        <is>
          <t>Экскаватор</t>
        </is>
      </c>
      <c r="I86" s="37" t="inlineStr">
        <is>
          <t>HITACHI 330</t>
        </is>
      </c>
      <c r="J86" s="37" t="inlineStr">
        <is>
          <t>5739</t>
        </is>
      </c>
      <c r="K86" s="37" t="inlineStr">
        <is>
          <t>ЖДС</t>
        </is>
      </c>
      <c r="L86" s="37" t="n">
        <v>1720</v>
      </c>
      <c r="M86" s="37" t="inlineStr">
        <is>
          <t>м3</t>
        </is>
      </c>
      <c r="N86" s="37" t="inlineStr"/>
      <c r="O86" s="33" t="n"/>
      <c r="P86" s="33" t="n"/>
    </row>
    <row r="87" ht="25.5" customHeight="1">
      <c r="A87" s="37" t="inlineStr">
        <is>
          <t>АД5</t>
        </is>
      </c>
      <c r="B87" s="37" t="inlineStr">
        <is>
          <t>Устройство насыпи</t>
        </is>
      </c>
      <c r="C87" s="37" t="inlineStr">
        <is>
          <t>ПК2694+00</t>
        </is>
      </c>
      <c r="D87" s="37" t="inlineStr">
        <is>
          <t>ПК2694+00</t>
        </is>
      </c>
      <c r="E87" s="37" t="inlineStr">
        <is>
          <t>ПК51+20</t>
        </is>
      </c>
      <c r="F87" s="37" t="inlineStr">
        <is>
          <t>ПК53+20</t>
        </is>
      </c>
      <c r="G87" s="37" t="inlineStr">
        <is>
          <t>Анипченко В. Е</t>
        </is>
      </c>
      <c r="H87" s="37" t="inlineStr">
        <is>
          <t>Бульдозер</t>
        </is>
      </c>
      <c r="I87" s="37" t="inlineStr">
        <is>
          <t>SEM</t>
        </is>
      </c>
      <c r="J87" s="37" t="inlineStr">
        <is>
          <t>6947</t>
        </is>
      </c>
      <c r="K87" s="37" t="inlineStr">
        <is>
          <t>ЖДС</t>
        </is>
      </c>
      <c r="L87" s="37" t="n">
        <v>1804.7</v>
      </c>
      <c r="M87" s="37" t="inlineStr">
        <is>
          <t>м3</t>
        </is>
      </c>
      <c r="N87" s="37" t="inlineStr"/>
      <c r="O87" s="33" t="n"/>
      <c r="P87" s="33" t="n"/>
    </row>
    <row r="88">
      <c r="A88" s="37" t="inlineStr">
        <is>
          <t>АД5</t>
        </is>
      </c>
      <c r="B88" s="37" t="inlineStr">
        <is>
          <t>Планировка и уплотнение насыпи земполотна</t>
        </is>
      </c>
      <c r="C88" s="37" t="inlineStr">
        <is>
          <t>ПК2694+00</t>
        </is>
      </c>
      <c r="D88" s="37" t="inlineStr">
        <is>
          <t>ПК2694+00</t>
        </is>
      </c>
      <c r="E88" s="37" t="inlineStr">
        <is>
          <t>ПК51+20</t>
        </is>
      </c>
      <c r="F88" s="37" t="inlineStr">
        <is>
          <t>ПК53+20</t>
        </is>
      </c>
      <c r="G88" s="37" t="inlineStr">
        <is>
          <t>Австафев Е</t>
        </is>
      </c>
      <c r="H88" s="37" t="inlineStr">
        <is>
          <t>Автогрейдер</t>
        </is>
      </c>
      <c r="I88" s="37" t="inlineStr">
        <is>
          <t>SEM 922</t>
        </is>
      </c>
      <c r="J88" s="37" t="inlineStr">
        <is>
          <t>6945</t>
        </is>
      </c>
      <c r="K88" s="37" t="inlineStr">
        <is>
          <t>ЖДС</t>
        </is>
      </c>
      <c r="L88" s="37" t="n">
        <v>2500</v>
      </c>
      <c r="M88" s="37" t="inlineStr">
        <is>
          <t>м2</t>
        </is>
      </c>
      <c r="N88" s="37" t="inlineStr"/>
      <c r="O88" s="33" t="n"/>
      <c r="P88" s="33" t="n"/>
    </row>
    <row r="89">
      <c r="A89" s="37" t="inlineStr">
        <is>
          <t>АД5</t>
        </is>
      </c>
      <c r="B89" s="37" t="inlineStr">
        <is>
          <t>Устройство временной водоотводной канавы вдоль полосы отвода</t>
        </is>
      </c>
      <c r="C89" s="37" t="inlineStr">
        <is>
          <t>ПК2698+00</t>
        </is>
      </c>
      <c r="D89" s="37" t="inlineStr">
        <is>
          <t>ПК2700+00</t>
        </is>
      </c>
      <c r="E89" s="37" t="inlineStr"/>
      <c r="F89" s="37" t="inlineStr"/>
      <c r="G89" s="37" t="inlineStr">
        <is>
          <t>Суханов Р. В</t>
        </is>
      </c>
      <c r="H89" s="37" t="inlineStr">
        <is>
          <t>Экскаватор</t>
        </is>
      </c>
      <c r="I89" s="37" t="inlineStr">
        <is>
          <t>HITACHI ZX330</t>
        </is>
      </c>
      <c r="J89" s="37" t="inlineStr">
        <is>
          <t>5741</t>
        </is>
      </c>
      <c r="K89" s="37" t="inlineStr">
        <is>
          <t>ЖДС</t>
        </is>
      </c>
      <c r="L89" s="37" t="n">
        <v>1150</v>
      </c>
      <c r="M89" s="37" t="inlineStr">
        <is>
          <t>м3</t>
        </is>
      </c>
      <c r="N89" s="37" t="inlineStr"/>
      <c r="O89" s="33" t="n"/>
      <c r="P89" s="33" t="n"/>
    </row>
    <row r="90">
      <c r="A90" s="37" t="inlineStr">
        <is>
          <t>Стартовые площадки участков усиления №18 и №19</t>
        </is>
      </c>
      <c r="B90" s="37" t="inlineStr">
        <is>
          <t>Планировка насыпи из песка до проектных отметок</t>
        </is>
      </c>
      <c r="C90" s="37" t="inlineStr">
        <is>
          <t>ПК2697+00</t>
        </is>
      </c>
      <c r="D90" s="37" t="inlineStr">
        <is>
          <t>ПК2697+00</t>
        </is>
      </c>
      <c r="E90" s="37" t="inlineStr"/>
      <c r="F90" s="37" t="inlineStr"/>
      <c r="G90" s="37" t="inlineStr">
        <is>
          <t>Грошин А. В</t>
        </is>
      </c>
      <c r="H90" s="37" t="inlineStr">
        <is>
          <t>Экскаватор</t>
        </is>
      </c>
      <c r="I90" s="37" t="inlineStr">
        <is>
          <t>HITACHI ZX330</t>
        </is>
      </c>
      <c r="J90" s="37" t="inlineStr">
        <is>
          <t>5741</t>
        </is>
      </c>
      <c r="K90" s="37" t="inlineStr">
        <is>
          <t>ЖДС</t>
        </is>
      </c>
      <c r="L90" s="37" t="n">
        <v>2280</v>
      </c>
      <c r="M90" s="37" t="inlineStr">
        <is>
          <t>м2</t>
        </is>
      </c>
      <c r="N90" s="37" t="inlineStr"/>
      <c r="O90" s="33" t="n"/>
      <c r="P90" s="33" t="n"/>
    </row>
    <row r="91">
      <c r="A91" s="37" t="inlineStr">
        <is>
          <t>Тех. проезд к АД13</t>
        </is>
      </c>
      <c r="B91" s="37" t="inlineStr">
        <is>
          <t>Устройство насыпи из песка на тех. проезде</t>
        </is>
      </c>
      <c r="C91" s="37" t="inlineStr"/>
      <c r="D91" s="37" t="inlineStr"/>
      <c r="E91" s="37" t="inlineStr"/>
      <c r="F91" s="37" t="inlineStr"/>
      <c r="G91" s="37" t="inlineStr">
        <is>
          <t>Уткин В. А</t>
        </is>
      </c>
      <c r="H91" s="37" t="inlineStr">
        <is>
          <t>Бульдозер</t>
        </is>
      </c>
      <c r="I91" s="37" t="inlineStr">
        <is>
          <t>SEM</t>
        </is>
      </c>
      <c r="J91" s="37" t="inlineStr">
        <is>
          <t>3193</t>
        </is>
      </c>
      <c r="K91" s="37" t="inlineStr">
        <is>
          <t>ЖДС</t>
        </is>
      </c>
      <c r="L91" s="37" t="n">
        <v>168</v>
      </c>
      <c r="M91" s="37" t="inlineStr">
        <is>
          <t>м3</t>
        </is>
      </c>
      <c r="N91" s="37" t="inlineStr"/>
      <c r="O91" s="33" t="n"/>
      <c r="P91" s="33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3" t="n"/>
      <c r="P92" s="33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3" t="n"/>
      <c r="P93" s="33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3" t="n"/>
      <c r="P94" s="33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3" t="n"/>
      <c r="P95" s="33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3" t="n"/>
      <c r="P96" s="33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3" t="n"/>
      <c r="P97" s="33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3" t="n"/>
      <c r="P98" s="33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3" t="n"/>
      <c r="P99" s="33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3" t="n"/>
      <c r="P100" s="33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3" t="n"/>
      <c r="P101" s="33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3" t="n"/>
      <c r="P102" s="33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3" t="n"/>
      <c r="P103" s="33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3" t="n"/>
      <c r="P104" s="33" t="n"/>
    </row>
    <row r="105">
      <c r="A105" s="33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3" t="n"/>
      <c r="P105" s="33" t="n"/>
    </row>
    <row r="106" ht="21.75" customHeight="1">
      <c r="A106" s="34" t="inlineStr">
        <is>
          <t>4. СОПУТСТВУЮЩИЕ РАБОТЫ  (учёт есть, производительность не рассчитывается)</t>
        </is>
      </c>
      <c r="B106" s="31" t="n"/>
      <c r="C106" s="31" t="n"/>
      <c r="D106" s="31" t="n"/>
      <c r="E106" s="31" t="n"/>
      <c r="F106" s="31" t="n"/>
      <c r="G106" s="31" t="n"/>
      <c r="H106" s="31" t="n"/>
      <c r="I106" s="31" t="n"/>
      <c r="J106" s="31" t="n"/>
      <c r="K106" s="31" t="n"/>
      <c r="L106" s="31" t="n"/>
      <c r="M106" s="31" t="n"/>
      <c r="N106" s="32" t="n"/>
      <c r="O106" s="33" t="n"/>
      <c r="P106" s="33" t="n"/>
    </row>
    <row r="107" ht="30" customHeight="1">
      <c r="A107" s="35" t="inlineStr">
        <is>
          <t>Вид работ</t>
        </is>
      </c>
      <c r="B107" s="35" t="inlineStr">
        <is>
          <t>ПК ВСЖМ (от)</t>
        </is>
      </c>
      <c r="C107" s="35" t="inlineStr">
        <is>
          <t>ПК ВСЖМ (до)</t>
        </is>
      </c>
      <c r="D107" s="35" t="inlineStr">
        <is>
          <t>ПК АД (от)</t>
        </is>
      </c>
      <c r="E107" s="35" t="inlineStr">
        <is>
          <t>ПК АД (до)</t>
        </is>
      </c>
      <c r="F107" s="35" t="inlineStr">
        <is>
          <t>Оператор/машинист</t>
        </is>
      </c>
      <c r="G107" s="35" t="inlineStr">
        <is>
          <t>Тип техники</t>
        </is>
      </c>
      <c r="H107" s="35" t="inlineStr">
        <is>
          <t>Модель</t>
        </is>
      </c>
      <c r="I107" s="35" t="inlineStr">
        <is>
          <t>Борт/госномер</t>
        </is>
      </c>
      <c r="J107" s="35" t="inlineStr">
        <is>
          <t>Владелец</t>
        </is>
      </c>
      <c r="K107" s="35" t="inlineStr">
        <is>
          <t>Объём</t>
        </is>
      </c>
      <c r="L107" s="35" t="inlineStr">
        <is>
          <t>Ед. изм.</t>
        </is>
      </c>
      <c r="M107" s="35" t="inlineStr">
        <is>
          <t>Примечание</t>
        </is>
      </c>
      <c r="N107" s="33" t="n"/>
      <c r="O107" s="33" t="n"/>
      <c r="P107" s="33" t="n"/>
    </row>
    <row r="108" ht="25.5" customHeight="1">
      <c r="A108" s="37" t="inlineStr">
        <is>
          <t>Погрузка непригодного грунта с выгрузкой на накопителе</t>
        </is>
      </c>
      <c r="B108" s="37" t="inlineStr">
        <is>
          <t>ПК2657+40</t>
        </is>
      </c>
      <c r="C108" s="37" t="inlineStr">
        <is>
          <t>ПК2657+40</t>
        </is>
      </c>
      <c r="D108" s="37" t="inlineStr">
        <is>
          <t>ПК13+40</t>
        </is>
      </c>
      <c r="E108" s="37" t="inlineStr">
        <is>
          <t>ПК13+40</t>
        </is>
      </c>
      <c r="F108" s="37" t="inlineStr">
        <is>
          <t>Белозуб Д. В</t>
        </is>
      </c>
      <c r="G108" s="37" t="inlineStr">
        <is>
          <t>Экскаватор</t>
        </is>
      </c>
      <c r="H108" s="37" t="inlineStr">
        <is>
          <t>HITACHI 380</t>
        </is>
      </c>
      <c r="I108" s="37" t="inlineStr">
        <is>
          <t>5746</t>
        </is>
      </c>
      <c r="J108" s="37" t="inlineStr">
        <is>
          <t>ЖДС</t>
        </is>
      </c>
      <c r="K108" s="37" t="n">
        <v>460</v>
      </c>
      <c r="L108" s="37" t="inlineStr">
        <is>
          <t>м3</t>
        </is>
      </c>
      <c r="M108" s="37" t="inlineStr"/>
      <c r="N108" s="37" t="n"/>
      <c r="O108" s="33" t="n"/>
      <c r="P108" s="33" t="n"/>
    </row>
    <row r="109" ht="38.25" customHeight="1">
      <c r="A109" s="37" t="inlineStr">
        <is>
          <t>Работа на ИССО</t>
        </is>
      </c>
      <c r="B109" s="37" t="inlineStr"/>
      <c r="C109" s="37" t="inlineStr"/>
      <c r="D109" s="37" t="inlineStr">
        <is>
          <t>ПК12+20</t>
        </is>
      </c>
      <c r="E109" s="37" t="inlineStr">
        <is>
          <t>ПК12+20</t>
        </is>
      </c>
      <c r="F109" s="37" t="inlineStr">
        <is>
          <t>Пулатов Ю. З</t>
        </is>
      </c>
      <c r="G109" s="37" t="inlineStr">
        <is>
          <t>Экскаватор</t>
        </is>
      </c>
      <c r="H109" s="37" t="inlineStr">
        <is>
          <t>HITACHI330</t>
        </is>
      </c>
      <c r="I109" s="37" t="inlineStr">
        <is>
          <t>0337</t>
        </is>
      </c>
      <c r="J109" s="37" t="inlineStr">
        <is>
          <t>ЖДС</t>
        </is>
      </c>
      <c r="K109" s="37" t="n">
        <v>1</v>
      </c>
      <c r="L109" s="37" t="inlineStr">
        <is>
          <t>шт</t>
        </is>
      </c>
      <c r="M109" s="37" t="inlineStr">
        <is>
          <t>условная учетная единица: техника передана на направление ИССО, производительность не рассчитывается</t>
        </is>
      </c>
      <c r="N109" s="37" t="n"/>
      <c r="O109" s="33" t="n"/>
      <c r="P109" s="33" t="n"/>
    </row>
    <row r="110" ht="38.25" customHeight="1">
      <c r="A110" s="37" t="inlineStr">
        <is>
          <t>Погрузка грунта</t>
        </is>
      </c>
      <c r="B110" s="37" t="inlineStr">
        <is>
          <t>ПК2698+00</t>
        </is>
      </c>
      <c r="C110" s="37" t="inlineStr">
        <is>
          <t>ПК2698+00</t>
        </is>
      </c>
      <c r="D110" s="37" t="inlineStr"/>
      <c r="E110" s="37" t="inlineStr"/>
      <c r="F110" s="37" t="inlineStr">
        <is>
          <t>Суханов Р. В</t>
        </is>
      </c>
      <c r="G110" s="37" t="inlineStr">
        <is>
          <t>Экскаватор</t>
        </is>
      </c>
      <c r="H110" s="37" t="inlineStr">
        <is>
          <t>HITACHI ZX330</t>
        </is>
      </c>
      <c r="I110" s="37" t="inlineStr">
        <is>
          <t>5741</t>
        </is>
      </c>
      <c r="J110" s="37" t="inlineStr">
        <is>
          <t>ЖДС</t>
        </is>
      </c>
      <c r="K110" s="37" t="n">
        <v>90</v>
      </c>
      <c r="L110" s="37" t="inlineStr">
        <is>
          <t>м3</t>
        </is>
      </c>
      <c r="M110" s="37" t="inlineStr"/>
      <c r="N110" s="37" t="n"/>
      <c r="O110" s="33" t="n"/>
      <c r="P110" s="33" t="n"/>
    </row>
    <row r="111" ht="38.25" customHeight="1">
      <c r="A111" s="37" t="inlineStr">
        <is>
          <t>Устройство насыпи из не дренирующего грунта (глины)</t>
        </is>
      </c>
      <c r="B111" s="37" t="inlineStr"/>
      <c r="C111" s="37" t="inlineStr"/>
      <c r="D111" s="37" t="inlineStr"/>
      <c r="E111" s="37" t="inlineStr"/>
      <c r="F111" s="37" t="inlineStr">
        <is>
          <t>Уткин В. А</t>
        </is>
      </c>
      <c r="G111" s="37" t="inlineStr">
        <is>
          <t>Бульдозер</t>
        </is>
      </c>
      <c r="H111" s="37" t="inlineStr">
        <is>
          <t>SEM</t>
        </is>
      </c>
      <c r="I111" s="37" t="inlineStr">
        <is>
          <t>3193</t>
        </is>
      </c>
      <c r="J111" s="37" t="inlineStr">
        <is>
          <t>ЖДС</t>
        </is>
      </c>
      <c r="K111" s="37" t="n">
        <v>90</v>
      </c>
      <c r="L111" s="37" t="inlineStr">
        <is>
          <t>м3</t>
        </is>
      </c>
      <c r="M111" s="37" t="inlineStr"/>
      <c r="N111" s="37" t="n"/>
      <c r="O111" s="33" t="n"/>
      <c r="P111" s="33" t="n"/>
    </row>
    <row r="112" ht="38.25" customHeight="1">
      <c r="A112" s="37" t="inlineStr">
        <is>
          <t>Приемка песка в накопитель</t>
        </is>
      </c>
      <c r="B112" s="37" t="inlineStr">
        <is>
          <t>ПК2715+00</t>
        </is>
      </c>
      <c r="C112" s="37" t="inlineStr">
        <is>
          <t>ПК2715+00</t>
        </is>
      </c>
      <c r="D112" s="37" t="inlineStr"/>
      <c r="E112" s="37" t="inlineStr"/>
      <c r="F112" s="37" t="inlineStr">
        <is>
          <t>Григорьев А. В</t>
        </is>
      </c>
      <c r="G112" s="37" t="inlineStr">
        <is>
          <t>Экскаватор</t>
        </is>
      </c>
      <c r="H112" s="37" t="inlineStr">
        <is>
          <t>JCB</t>
        </is>
      </c>
      <c r="I112" s="37" t="inlineStr">
        <is>
          <t>6041</t>
        </is>
      </c>
      <c r="J112" s="37" t="inlineStr">
        <is>
          <t>ЖДС</t>
        </is>
      </c>
      <c r="K112" s="37" t="n">
        <v>228.8</v>
      </c>
      <c r="L112" s="37" t="inlineStr">
        <is>
          <t>м3</t>
        </is>
      </c>
      <c r="M112" s="37" t="inlineStr"/>
      <c r="N112" s="37" t="n"/>
      <c r="O112" s="33" t="n"/>
      <c r="P112" s="33" t="n"/>
    </row>
    <row r="113" ht="25.5" customHeight="1">
      <c r="A113" s="37" t="inlineStr">
        <is>
          <t>Погрузка песка с накопителя</t>
        </is>
      </c>
      <c r="B113" s="37" t="inlineStr">
        <is>
          <t>ПК2715+00</t>
        </is>
      </c>
      <c r="C113" s="37" t="inlineStr">
        <is>
          <t>ПК2715+00</t>
        </is>
      </c>
      <c r="D113" s="37" t="inlineStr"/>
      <c r="E113" s="37" t="inlineStr"/>
      <c r="F113" s="37" t="inlineStr">
        <is>
          <t>Григорьев А. В</t>
        </is>
      </c>
      <c r="G113" s="37" t="inlineStr">
        <is>
          <t>Экскаватор</t>
        </is>
      </c>
      <c r="H113" s="37" t="inlineStr">
        <is>
          <t>JCB</t>
        </is>
      </c>
      <c r="I113" s="37" t="inlineStr">
        <is>
          <t>6041</t>
        </is>
      </c>
      <c r="J113" s="37" t="inlineStr">
        <is>
          <t>ЖДС</t>
        </is>
      </c>
      <c r="K113" s="37" t="n">
        <v>168</v>
      </c>
      <c r="L113" s="37" t="inlineStr">
        <is>
          <t>м3</t>
        </is>
      </c>
      <c r="M113" s="37" t="inlineStr"/>
      <c r="N113" s="37" t="n"/>
      <c r="O113" s="33" t="n"/>
      <c r="P113" s="33" t="n"/>
    </row>
    <row r="114" ht="25.5" customHeight="1">
      <c r="A114" s="37" t="inlineStr">
        <is>
          <t>Прием ЩПГС в конус</t>
        </is>
      </c>
      <c r="B114" s="37" t="inlineStr">
        <is>
          <t>ПК2687+00</t>
        </is>
      </c>
      <c r="C114" s="37" t="inlineStr">
        <is>
          <t>ПК2687+00</t>
        </is>
      </c>
      <c r="D114" s="37" t="inlineStr"/>
      <c r="E114" s="37" t="inlineStr"/>
      <c r="F114" s="37" t="inlineStr"/>
      <c r="G114" s="37" t="inlineStr"/>
      <c r="H114" s="37" t="inlineStr"/>
      <c r="I114" s="37" t="inlineStr"/>
      <c r="J114" s="37" t="inlineStr"/>
      <c r="K114" s="37" t="n">
        <v>532.37</v>
      </c>
      <c r="L114" s="37" t="inlineStr">
        <is>
          <t>т</t>
        </is>
      </c>
      <c r="M114" s="37" t="inlineStr">
        <is>
          <t>(</t>
        </is>
      </c>
      <c r="N114" s="37" t="n"/>
      <c r="O114" s="33" t="n"/>
      <c r="P114" s="33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3" t="n"/>
      <c r="P115" s="33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3" t="n"/>
      <c r="P116" s="33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3" t="n"/>
      <c r="P117" s="33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3" t="n"/>
      <c r="P118" s="33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3" t="n"/>
      <c r="P119" s="33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3" t="n"/>
      <c r="P120" s="33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3" t="n"/>
      <c r="P121" s="33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3" t="n"/>
      <c r="P122" s="33" t="n"/>
    </row>
    <row r="123">
      <c r="A123" s="33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3" t="n"/>
      <c r="N123" s="33" t="n"/>
      <c r="O123" s="33" t="n"/>
      <c r="P123" s="33" t="n"/>
    </row>
    <row r="124" ht="21.75" customHeight="1">
      <c r="A124" s="34" t="inlineStr">
        <is>
          <t>5. ПАРК ТЕХНИКИ  (задействована, простой, ремонт)</t>
        </is>
      </c>
      <c r="B124" s="31" t="n"/>
      <c r="C124" s="31" t="n"/>
      <c r="D124" s="31" t="n"/>
      <c r="E124" s="31" t="n"/>
      <c r="F124" s="31" t="n"/>
      <c r="G124" s="31" t="n"/>
      <c r="H124" s="31" t="n"/>
      <c r="I124" s="31" t="n"/>
      <c r="J124" s="31" t="n"/>
      <c r="K124" s="31" t="n"/>
      <c r="L124" s="31" t="n"/>
      <c r="M124" s="31" t="n"/>
      <c r="N124" s="32" t="n"/>
      <c r="O124" s="33" t="n"/>
      <c r="P124" s="33" t="n"/>
    </row>
    <row r="125" ht="30" customHeight="1">
      <c r="A125" s="35" t="inlineStr">
        <is>
          <t>Тип</t>
        </is>
      </c>
      <c r="B125" s="35" t="inlineStr">
        <is>
          <t>Модель</t>
        </is>
      </c>
      <c r="C125" s="35" t="inlineStr">
        <is>
          <t>Борт/госномер</t>
        </is>
      </c>
      <c r="D125" s="35" t="inlineStr">
        <is>
          <t>Владелец/оператор</t>
        </is>
      </c>
      <c r="E125" s="35" t="inlineStr">
        <is>
          <t>Статус</t>
        </is>
      </c>
      <c r="F125" s="35" t="inlineStr">
        <is>
          <t>Примечание/причина</t>
        </is>
      </c>
      <c r="G125" s="33" t="n"/>
      <c r="H125" s="33" t="n"/>
      <c r="I125" s="33" t="n"/>
      <c r="J125" s="33" t="n"/>
      <c r="K125" s="33" t="n"/>
      <c r="L125" s="33" t="n"/>
      <c r="M125" s="33" t="n"/>
      <c r="N125" s="33" t="n"/>
      <c r="O125" s="33" t="n"/>
      <c r="P125" s="33" t="n"/>
    </row>
    <row r="126">
      <c r="A126" s="37" t="inlineStr">
        <is>
          <t>Самосвал</t>
        </is>
      </c>
      <c r="B126" s="37" t="inlineStr">
        <is>
          <t>FAW</t>
        </is>
      </c>
      <c r="C126" s="37" t="inlineStr">
        <is>
          <t>913</t>
        </is>
      </c>
      <c r="D126" s="37" t="inlineStr">
        <is>
          <t>Степанов А. А</t>
        </is>
      </c>
      <c r="E126" s="37" t="inlineStr">
        <is>
          <t>в работе</t>
        </is>
      </c>
      <c r="F126" s="37" t="inlineStr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3" t="n"/>
      <c r="P126" s="33" t="n"/>
    </row>
    <row r="127">
      <c r="A127" s="37" t="inlineStr">
        <is>
          <t>Самосвал</t>
        </is>
      </c>
      <c r="B127" s="37" t="inlineStr">
        <is>
          <t>FAW</t>
        </is>
      </c>
      <c r="C127" s="37" t="inlineStr">
        <is>
          <t>838</t>
        </is>
      </c>
      <c r="D127" s="37" t="inlineStr">
        <is>
          <t>Зайцев</t>
        </is>
      </c>
      <c r="E127" s="37" t="inlineStr">
        <is>
          <t>в работе</t>
        </is>
      </c>
      <c r="F127" s="37" t="inlineStr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3" t="n"/>
      <c r="P127" s="33" t="n"/>
    </row>
    <row r="128">
      <c r="A128" s="37" t="inlineStr">
        <is>
          <t>Самосвал</t>
        </is>
      </c>
      <c r="B128" s="37" t="inlineStr">
        <is>
          <t>FAW</t>
        </is>
      </c>
      <c r="C128" s="37" t="inlineStr">
        <is>
          <t>017</t>
        </is>
      </c>
      <c r="D128" s="37" t="inlineStr">
        <is>
          <t>Томшин А.С</t>
        </is>
      </c>
      <c r="E128" s="37" t="inlineStr">
        <is>
          <t>в работе</t>
        </is>
      </c>
      <c r="F128" s="37" t="inlineStr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3" t="n"/>
      <c r="P128" s="33" t="n"/>
    </row>
    <row r="129">
      <c r="A129" s="37" t="inlineStr">
        <is>
          <t>Самосвал</t>
        </is>
      </c>
      <c r="B129" s="37" t="inlineStr">
        <is>
          <t>FAW</t>
        </is>
      </c>
      <c r="C129" s="37" t="inlineStr">
        <is>
          <t>018</t>
        </is>
      </c>
      <c r="D129" s="37" t="inlineStr">
        <is>
          <t>Садырбеков Н</t>
        </is>
      </c>
      <c r="E129" s="37" t="inlineStr">
        <is>
          <t>в работе</t>
        </is>
      </c>
      <c r="F129" s="37" t="inlineStr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3" t="n"/>
      <c r="P129" s="33" t="n"/>
    </row>
    <row r="130">
      <c r="A130" s="37" t="inlineStr">
        <is>
          <t>Самосвал</t>
        </is>
      </c>
      <c r="B130" s="37" t="inlineStr">
        <is>
          <t>FAW</t>
        </is>
      </c>
      <c r="C130" s="37" t="inlineStr">
        <is>
          <t>831</t>
        </is>
      </c>
      <c r="D130" s="37" t="inlineStr">
        <is>
          <t>Степанов Д. В</t>
        </is>
      </c>
      <c r="E130" s="37" t="inlineStr">
        <is>
          <t>в работе</t>
        </is>
      </c>
      <c r="F130" s="37" t="inlineStr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3" t="n"/>
      <c r="P130" s="33" t="n"/>
    </row>
    <row r="131">
      <c r="A131" s="37" t="inlineStr">
        <is>
          <t>Самосвал</t>
        </is>
      </c>
      <c r="B131" s="37" t="inlineStr">
        <is>
          <t>FAW</t>
        </is>
      </c>
      <c r="C131" s="37" t="inlineStr">
        <is>
          <t>188</t>
        </is>
      </c>
      <c r="D131" s="37" t="inlineStr">
        <is>
          <t>Клименко</t>
        </is>
      </c>
      <c r="E131" s="37" t="inlineStr">
        <is>
          <t>в работе</t>
        </is>
      </c>
      <c r="F131" s="37" t="inlineStr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3" t="n"/>
      <c r="P131" s="33" t="n"/>
    </row>
    <row r="132">
      <c r="A132" s="37" t="inlineStr">
        <is>
          <t>Самосвал</t>
        </is>
      </c>
      <c r="B132" s="37" t="inlineStr">
        <is>
          <t>FAW</t>
        </is>
      </c>
      <c r="C132" s="37" t="inlineStr">
        <is>
          <t>428</t>
        </is>
      </c>
      <c r="D132" s="37" t="inlineStr">
        <is>
          <t>Сайфудинов Р.А</t>
        </is>
      </c>
      <c r="E132" s="37" t="inlineStr">
        <is>
          <t>в работе</t>
        </is>
      </c>
      <c r="F132" s="37" t="inlineStr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3" t="n"/>
      <c r="P132" s="33" t="n"/>
    </row>
    <row r="133">
      <c r="A133" s="37" t="inlineStr">
        <is>
          <t>Самосвал</t>
        </is>
      </c>
      <c r="B133" s="37" t="inlineStr">
        <is>
          <t>FAW</t>
        </is>
      </c>
      <c r="C133" s="37" t="inlineStr">
        <is>
          <t>616</t>
        </is>
      </c>
      <c r="D133" s="37" t="inlineStr">
        <is>
          <t>Фалеев А</t>
        </is>
      </c>
      <c r="E133" s="37" t="inlineStr">
        <is>
          <t>в работе</t>
        </is>
      </c>
      <c r="F133" s="37" t="inlineStr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3" t="n"/>
      <c r="P133" s="33" t="n"/>
    </row>
    <row r="134">
      <c r="A134" s="37" t="inlineStr">
        <is>
          <t>Самосвал</t>
        </is>
      </c>
      <c r="B134" s="37" t="inlineStr">
        <is>
          <t>FAW</t>
        </is>
      </c>
      <c r="C134" s="37" t="inlineStr">
        <is>
          <t>413</t>
        </is>
      </c>
      <c r="D134" s="37" t="inlineStr">
        <is>
          <t>Громов А. И</t>
        </is>
      </c>
      <c r="E134" s="37" t="inlineStr">
        <is>
          <t>в работе</t>
        </is>
      </c>
      <c r="F134" s="37" t="inlineStr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3" t="n"/>
      <c r="P134" s="33" t="n"/>
    </row>
    <row r="135">
      <c r="A135" s="37" t="inlineStr">
        <is>
          <t>Самосвал</t>
        </is>
      </c>
      <c r="B135" s="37" t="inlineStr">
        <is>
          <t>FAW</t>
        </is>
      </c>
      <c r="C135" s="37" t="inlineStr">
        <is>
          <t>225</t>
        </is>
      </c>
      <c r="D135" s="37" t="inlineStr">
        <is>
          <t>Исингалиев К. К</t>
        </is>
      </c>
      <c r="E135" s="37" t="inlineStr">
        <is>
          <t>в работе</t>
        </is>
      </c>
      <c r="F135" s="37" t="inlineStr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3" t="n"/>
      <c r="P135" s="33" t="n"/>
    </row>
    <row r="136">
      <c r="A136" s="37" t="inlineStr">
        <is>
          <t>Самосвал</t>
        </is>
      </c>
      <c r="B136" s="37" t="inlineStr">
        <is>
          <t>FAW</t>
        </is>
      </c>
      <c r="C136" s="37" t="inlineStr">
        <is>
          <t>932</t>
        </is>
      </c>
      <c r="D136" s="37" t="inlineStr">
        <is>
          <t>Аминев В. В</t>
        </is>
      </c>
      <c r="E136" s="37" t="inlineStr">
        <is>
          <t>в работе</t>
        </is>
      </c>
      <c r="F136" s="37" t="inlineStr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3" t="n"/>
      <c r="P136" s="33" t="n"/>
    </row>
    <row r="137">
      <c r="A137" s="37" t="inlineStr">
        <is>
          <t>Самосвал</t>
        </is>
      </c>
      <c r="B137" s="37" t="inlineStr">
        <is>
          <t>FAW</t>
        </is>
      </c>
      <c r="C137" s="37" t="inlineStr">
        <is>
          <t>981</t>
        </is>
      </c>
      <c r="D137" s="37" t="inlineStr">
        <is>
          <t>Гладких К. А</t>
        </is>
      </c>
      <c r="E137" s="37" t="inlineStr">
        <is>
          <t>в работе</t>
        </is>
      </c>
      <c r="F137" s="37" t="inlineStr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3" t="n"/>
      <c r="P137" s="33" t="n"/>
    </row>
    <row r="138">
      <c r="A138" s="37" t="inlineStr">
        <is>
          <t>Самосвал</t>
        </is>
      </c>
      <c r="B138" s="37" t="inlineStr">
        <is>
          <t>FAW</t>
        </is>
      </c>
      <c r="C138" s="37" t="inlineStr">
        <is>
          <t>544</t>
        </is>
      </c>
      <c r="D138" s="37" t="inlineStr">
        <is>
          <t>Газимагомедов Ш.М</t>
        </is>
      </c>
      <c r="E138" s="37" t="inlineStr">
        <is>
          <t>в работе</t>
        </is>
      </c>
      <c r="F138" s="37" t="inlineStr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3" t="n"/>
      <c r="P138" s="33" t="n"/>
    </row>
    <row r="139">
      <c r="A139" s="37" t="inlineStr">
        <is>
          <t>Самосвал</t>
        </is>
      </c>
      <c r="B139" s="37" t="inlineStr">
        <is>
          <t>FAW</t>
        </is>
      </c>
      <c r="C139" s="37" t="inlineStr">
        <is>
          <t>256</t>
        </is>
      </c>
      <c r="D139" s="37" t="inlineStr">
        <is>
          <t>н/д</t>
        </is>
      </c>
      <c r="E139" s="37" t="inlineStr">
        <is>
          <t>в работе</t>
        </is>
      </c>
      <c r="F139" s="37" t="inlineStr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3" t="n"/>
      <c r="P139" s="33" t="n"/>
    </row>
    <row r="140">
      <c r="A140" s="37" t="inlineStr">
        <is>
          <t>Самосвал</t>
        </is>
      </c>
      <c r="B140" s="37" t="inlineStr">
        <is>
          <t>FAW</t>
        </is>
      </c>
      <c r="C140" s="37" t="inlineStr">
        <is>
          <t>513</t>
        </is>
      </c>
      <c r="D140" s="37" t="inlineStr">
        <is>
          <t>н/д</t>
        </is>
      </c>
      <c r="E140" s="37" t="inlineStr">
        <is>
          <t>в работе</t>
        </is>
      </c>
      <c r="F140" s="37" t="inlineStr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3" t="n"/>
      <c r="P140" s="33" t="n"/>
    </row>
    <row r="141">
      <c r="A141" s="37" t="inlineStr">
        <is>
          <t>Самосвал</t>
        </is>
      </c>
      <c r="B141" s="37" t="inlineStr">
        <is>
          <t>FAW</t>
        </is>
      </c>
      <c r="C141" s="37" t="inlineStr">
        <is>
          <t>653</t>
        </is>
      </c>
      <c r="D141" s="37" t="inlineStr">
        <is>
          <t>ООО «Алмаз»</t>
        </is>
      </c>
      <c r="E141" s="37" t="inlineStr">
        <is>
          <t>unknown</t>
        </is>
      </c>
      <c r="F141" s="37" t="inlineStr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3" t="n"/>
      <c r="P141" s="33" t="n"/>
    </row>
    <row r="142">
      <c r="A142" s="37" t="inlineStr">
        <is>
          <t>Самосвал</t>
        </is>
      </c>
      <c r="B142" s="37" t="inlineStr">
        <is>
          <t>FAW</t>
        </is>
      </c>
      <c r="C142" s="37" t="inlineStr">
        <is>
          <t>652</t>
        </is>
      </c>
      <c r="D142" s="37" t="inlineStr">
        <is>
          <t>ООО «Алмаз»</t>
        </is>
      </c>
      <c r="E142" s="37" t="inlineStr">
        <is>
          <t>unknown</t>
        </is>
      </c>
      <c r="F142" s="37" t="inlineStr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3" t="n"/>
      <c r="P142" s="33" t="n"/>
    </row>
    <row r="143">
      <c r="A143" s="37" t="inlineStr">
        <is>
          <t>Самосвал</t>
        </is>
      </c>
      <c r="B143" s="37" t="inlineStr">
        <is>
          <t>FAW</t>
        </is>
      </c>
      <c r="C143" s="37" t="inlineStr">
        <is>
          <t>526</t>
        </is>
      </c>
      <c r="D143" s="37" t="inlineStr">
        <is>
          <t>ООО «Алмаз»</t>
        </is>
      </c>
      <c r="E143" s="37" t="inlineStr">
        <is>
          <t>unknown</t>
        </is>
      </c>
      <c r="F143" s="37" t="inlineStr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3" t="n"/>
      <c r="P143" s="33" t="n"/>
    </row>
    <row r="144">
      <c r="A144" s="37" t="inlineStr">
        <is>
          <t>Самосвал</t>
        </is>
      </c>
      <c r="B144" s="37" t="inlineStr">
        <is>
          <t>FAW</t>
        </is>
      </c>
      <c r="C144" s="37" t="inlineStr">
        <is>
          <t>678</t>
        </is>
      </c>
      <c r="D144" s="37" t="inlineStr">
        <is>
          <t>ООО «Алмаз»</t>
        </is>
      </c>
      <c r="E144" s="37" t="inlineStr">
        <is>
          <t>unknown</t>
        </is>
      </c>
      <c r="F144" s="37" t="inlineStr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3" t="n"/>
      <c r="P144" s="33" t="n"/>
    </row>
    <row r="145">
      <c r="A145" s="37" t="inlineStr">
        <is>
          <t>Самосвал</t>
        </is>
      </c>
      <c r="B145" s="37" t="inlineStr">
        <is>
          <t>FAW</t>
        </is>
      </c>
      <c r="C145" s="37" t="inlineStr">
        <is>
          <t>257</t>
        </is>
      </c>
      <c r="D145" s="37" t="inlineStr">
        <is>
          <t>ООО «Алмаз»</t>
        </is>
      </c>
      <c r="E145" s="37" t="inlineStr">
        <is>
          <t>unknown</t>
        </is>
      </c>
      <c r="F145" s="37" t="inlineStr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3" t="n"/>
      <c r="P145" s="33" t="n"/>
    </row>
    <row r="146">
      <c r="A146" s="37" t="inlineStr">
        <is>
          <t>Самосвал</t>
        </is>
      </c>
      <c r="B146" s="37" t="inlineStr">
        <is>
          <t>FAW</t>
        </is>
      </c>
      <c r="C146" s="37" t="inlineStr">
        <is>
          <t>469</t>
        </is>
      </c>
      <c r="D146" s="37" t="inlineStr">
        <is>
          <t>ООО «Алмаз»</t>
        </is>
      </c>
      <c r="E146" s="37" t="inlineStr">
        <is>
          <t>unknown</t>
        </is>
      </c>
      <c r="F146" s="37" t="inlineStr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3" t="n"/>
      <c r="P146" s="33" t="n"/>
    </row>
    <row r="147">
      <c r="A147" s="37" t="inlineStr">
        <is>
          <t>Самосвал</t>
        </is>
      </c>
      <c r="B147" s="37" t="inlineStr">
        <is>
          <t>HOWO</t>
        </is>
      </c>
      <c r="C147" s="37" t="inlineStr">
        <is>
          <t>067</t>
        </is>
      </c>
      <c r="D147" s="37" t="inlineStr">
        <is>
          <t>Александров А.А</t>
        </is>
      </c>
      <c r="E147" s="37" t="inlineStr">
        <is>
          <t>в работе</t>
        </is>
      </c>
      <c r="F147" s="37" t="inlineStr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3" t="n"/>
      <c r="P147" s="33" t="n"/>
    </row>
    <row r="148">
      <c r="A148" s="37" t="inlineStr">
        <is>
          <t>Самосвал</t>
        </is>
      </c>
      <c r="B148" s="37" t="inlineStr">
        <is>
          <t>HOWO</t>
        </is>
      </c>
      <c r="C148" s="37" t="inlineStr">
        <is>
          <t>288</t>
        </is>
      </c>
      <c r="D148" s="37" t="inlineStr">
        <is>
          <t>ООО «РейлЛогистик»</t>
        </is>
      </c>
      <c r="E148" s="37" t="inlineStr">
        <is>
          <t>unknown</t>
        </is>
      </c>
      <c r="F148" s="37" t="inlineStr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3" t="n"/>
      <c r="P148" s="33" t="n"/>
    </row>
    <row r="149">
      <c r="A149" s="37" t="inlineStr">
        <is>
          <t>Самосвал</t>
        </is>
      </c>
      <c r="B149" s="37" t="inlineStr">
        <is>
          <t>HOWO</t>
        </is>
      </c>
      <c r="C149" s="37" t="inlineStr">
        <is>
          <t>828</t>
        </is>
      </c>
      <c r="D149" s="37" t="inlineStr">
        <is>
          <t>ООО «РейлЛогистик»</t>
        </is>
      </c>
      <c r="E149" s="37" t="inlineStr">
        <is>
          <t>unknown</t>
        </is>
      </c>
      <c r="F149" s="37" t="inlineStr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3" t="n"/>
      <c r="P149" s="33" t="n"/>
    </row>
    <row r="150">
      <c r="A150" s="37" t="inlineStr">
        <is>
          <t>Самосвал</t>
        </is>
      </c>
      <c r="B150" s="37" t="inlineStr">
        <is>
          <t>HOWO</t>
        </is>
      </c>
      <c r="C150" s="37" t="inlineStr">
        <is>
          <t>854</t>
        </is>
      </c>
      <c r="D150" s="37" t="inlineStr">
        <is>
          <t>ООО «РейлЛогистик»</t>
        </is>
      </c>
      <c r="E150" s="37" t="inlineStr">
        <is>
          <t>unknown</t>
        </is>
      </c>
      <c r="F150" s="37" t="inlineStr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3" t="n"/>
      <c r="P150" s="33" t="n"/>
    </row>
    <row r="151">
      <c r="A151" s="37" t="inlineStr">
        <is>
          <t>Самосвал</t>
        </is>
      </c>
      <c r="B151" s="37" t="inlineStr">
        <is>
          <t>SITRAC</t>
        </is>
      </c>
      <c r="C151" s="37" t="inlineStr">
        <is>
          <t>140</t>
        </is>
      </c>
      <c r="D151" s="37" t="inlineStr">
        <is>
          <t>ООО «РейлЛогистик»</t>
        </is>
      </c>
      <c r="E151" s="37" t="inlineStr">
        <is>
          <t>unknown</t>
        </is>
      </c>
      <c r="F151" s="37" t="inlineStr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3" t="n"/>
      <c r="P151" s="33" t="n"/>
    </row>
    <row r="152" ht="38.25" customHeight="1">
      <c r="A152" s="37" t="inlineStr">
        <is>
          <t>Камаз</t>
        </is>
      </c>
      <c r="B152" s="37" t="inlineStr">
        <is>
          <t>КДМ</t>
        </is>
      </c>
      <c r="C152" s="37" t="inlineStr">
        <is>
          <t>752</t>
        </is>
      </c>
      <c r="D152" s="37" t="inlineStr">
        <is>
          <t>Амелин С. С</t>
        </is>
      </c>
      <c r="E152" s="37" t="inlineStr">
        <is>
          <t>в работе</t>
        </is>
      </c>
      <c r="F152" s="37" t="inlineStr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3" t="n"/>
      <c r="P152" s="33" t="n"/>
    </row>
    <row r="153" ht="38.25" customHeight="1">
      <c r="A153" s="37" t="inlineStr">
        <is>
          <t>Автогрейдер</t>
        </is>
      </c>
      <c r="B153" s="37" t="inlineStr">
        <is>
          <t>SEM 922</t>
        </is>
      </c>
      <c r="C153" s="37" t="inlineStr">
        <is>
          <t>6945</t>
        </is>
      </c>
      <c r="D153" s="37" t="inlineStr">
        <is>
          <t>Корзун Н. В</t>
        </is>
      </c>
      <c r="E153" s="37" t="inlineStr">
        <is>
          <t>в работе</t>
        </is>
      </c>
      <c r="F153" s="37" t="inlineStr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3" t="n"/>
      <c r="P153" s="33" t="n"/>
    </row>
    <row r="154">
      <c r="A154" s="37" t="inlineStr">
        <is>
          <t>Экскаватор</t>
        </is>
      </c>
      <c r="B154" s="37" t="inlineStr">
        <is>
          <t>CAT 330</t>
        </is>
      </c>
      <c r="C154" s="37" t="inlineStr">
        <is>
          <t>7438</t>
        </is>
      </c>
      <c r="D154" s="37" t="inlineStr">
        <is>
          <t>Егоров В. В</t>
        </is>
      </c>
      <c r="E154" s="37" t="inlineStr">
        <is>
          <t>в работе</t>
        </is>
      </c>
      <c r="F154" s="37" t="inlineStr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3" t="n"/>
      <c r="P154" s="33" t="n"/>
    </row>
    <row r="155">
      <c r="A155" s="37" t="inlineStr">
        <is>
          <t>Экскаватор</t>
        </is>
      </c>
      <c r="B155" s="37" t="inlineStr">
        <is>
          <t>CAT 330</t>
        </is>
      </c>
      <c r="C155" s="37" t="inlineStr">
        <is>
          <t>7439</t>
        </is>
      </c>
      <c r="D155" s="37" t="inlineStr">
        <is>
          <t>Грошин А. В</t>
        </is>
      </c>
      <c r="E155" s="37" t="inlineStr">
        <is>
          <t>в работе</t>
        </is>
      </c>
      <c r="F155" s="37" t="inlineStr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3" t="n"/>
      <c r="P155" s="33" t="n"/>
    </row>
    <row r="156">
      <c r="A156" s="37" t="inlineStr">
        <is>
          <t>Бульдозер</t>
        </is>
      </c>
      <c r="B156" s="37" t="inlineStr">
        <is>
          <t>SEM</t>
        </is>
      </c>
      <c r="C156" s="37" t="inlineStr">
        <is>
          <t>3447</t>
        </is>
      </c>
      <c r="D156" s="37" t="inlineStr">
        <is>
          <t>Онипченко В. Е</t>
        </is>
      </c>
      <c r="E156" s="37" t="inlineStr">
        <is>
          <t>repair</t>
        </is>
      </c>
      <c r="F156" s="37" t="inlineStr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3" t="n"/>
      <c r="P156" s="33" t="n"/>
    </row>
    <row r="157" ht="38.25" customHeight="1">
      <c r="A157" s="37" t="inlineStr">
        <is>
          <t>Каток</t>
        </is>
      </c>
      <c r="B157" s="37" t="inlineStr">
        <is>
          <t>SANY 180</t>
        </is>
      </c>
      <c r="C157" s="37" t="inlineStr">
        <is>
          <t>3581</t>
        </is>
      </c>
      <c r="D157" s="37" t="inlineStr">
        <is>
          <t>Вагабов Н</t>
        </is>
      </c>
      <c r="E157" s="37" t="inlineStr">
        <is>
          <t>в работе</t>
        </is>
      </c>
      <c r="F157" s="37" t="inlineStr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3" t="n"/>
      <c r="P157" s="33" t="n"/>
    </row>
    <row r="158">
      <c r="A158" s="37" t="inlineStr">
        <is>
          <t>Бульдозер</t>
        </is>
      </c>
      <c r="B158" s="37" t="inlineStr">
        <is>
          <t>SHANTUI</t>
        </is>
      </c>
      <c r="C158" s="37" t="inlineStr">
        <is>
          <t>7032</t>
        </is>
      </c>
      <c r="D158" s="37" t="inlineStr">
        <is>
          <t>Вернигоров Р</t>
        </is>
      </c>
      <c r="E158" s="37" t="inlineStr">
        <is>
          <t>в работе</t>
        </is>
      </c>
      <c r="F158" s="37" t="inlineStr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3" t="n"/>
      <c r="P158" s="33" t="n"/>
    </row>
    <row r="159">
      <c r="A159" s="37" t="inlineStr">
        <is>
          <t>Экскаватор</t>
        </is>
      </c>
      <c r="B159" s="37" t="inlineStr">
        <is>
          <t>HITACHI 380</t>
        </is>
      </c>
      <c r="C159" s="37" t="inlineStr">
        <is>
          <t>5746</t>
        </is>
      </c>
      <c r="D159" s="37" t="inlineStr">
        <is>
          <t>Белозуб Д. В</t>
        </is>
      </c>
      <c r="E159" s="37" t="inlineStr">
        <is>
          <t>в работе</t>
        </is>
      </c>
      <c r="F159" s="37" t="inlineStr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3" t="n"/>
      <c r="P159" s="33" t="n"/>
    </row>
    <row r="160" ht="38.25" customHeight="1">
      <c r="A160" s="37" t="inlineStr">
        <is>
          <t>Самосвал</t>
        </is>
      </c>
      <c r="B160" s="37" t="inlineStr">
        <is>
          <t>HOWO</t>
        </is>
      </c>
      <c r="C160" s="37" t="inlineStr">
        <is>
          <t>099</t>
        </is>
      </c>
      <c r="D160" s="37" t="inlineStr">
        <is>
          <t>Нурзалиев Е.Ж</t>
        </is>
      </c>
      <c r="E160" s="37" t="inlineStr">
        <is>
          <t>в работе</t>
        </is>
      </c>
      <c r="F160" s="37" t="inlineStr">
        <is>
          <t>auto-added from work/transport block</t>
        </is>
      </c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3" t="n"/>
      <c r="P160" s="33" t="n"/>
    </row>
    <row r="161" ht="25.5" customHeight="1">
      <c r="A161" s="37" t="inlineStr">
        <is>
          <t>Бульдозер</t>
        </is>
      </c>
      <c r="B161" s="37" t="inlineStr">
        <is>
          <t>SEM</t>
        </is>
      </c>
      <c r="C161" s="37" t="inlineStr">
        <is>
          <t>3944</t>
        </is>
      </c>
      <c r="D161" s="37" t="inlineStr">
        <is>
          <t>Вишерский О. В</t>
        </is>
      </c>
      <c r="E161" s="37" t="inlineStr">
        <is>
          <t>в работе</t>
        </is>
      </c>
      <c r="F161" s="37" t="inlineStr">
        <is>
          <t>auto-added from work/transport block</t>
        </is>
      </c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3" t="n"/>
      <c r="P161" s="33" t="n"/>
    </row>
    <row r="162">
      <c r="A162" s="37" t="inlineStr">
        <is>
          <t>Экскаватор</t>
        </is>
      </c>
      <c r="B162" s="37" t="inlineStr">
        <is>
          <t>HITACHI 330</t>
        </is>
      </c>
      <c r="C162" s="37" t="inlineStr">
        <is>
          <t>5739</t>
        </is>
      </c>
      <c r="D162" s="37" t="inlineStr">
        <is>
          <t>Макаркин В.А</t>
        </is>
      </c>
      <c r="E162" s="37" t="inlineStr">
        <is>
          <t>в работе</t>
        </is>
      </c>
      <c r="F162" s="37" t="inlineStr">
        <is>
          <t>auto-added from work/transport block</t>
        </is>
      </c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3" t="n"/>
      <c r="P162" s="33" t="n"/>
    </row>
    <row r="163">
      <c r="A163" s="37" t="inlineStr">
        <is>
          <t>Бульдозер</t>
        </is>
      </c>
      <c r="B163" s="37" t="inlineStr">
        <is>
          <t>SEM</t>
        </is>
      </c>
      <c r="C163" s="37" t="inlineStr">
        <is>
          <t>6947</t>
        </is>
      </c>
      <c r="D163" s="37" t="inlineStr">
        <is>
          <t>Анипченко В. Е</t>
        </is>
      </c>
      <c r="E163" s="37" t="inlineStr">
        <is>
          <t>в работе</t>
        </is>
      </c>
      <c r="F163" s="37" t="inlineStr">
        <is>
          <t>auto-added from work/transport block</t>
        </is>
      </c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3" t="n"/>
      <c r="P163" s="33" t="n"/>
    </row>
    <row r="164">
      <c r="A164" s="37" t="inlineStr">
        <is>
          <t>Бульдозер</t>
        </is>
      </c>
      <c r="B164" s="37" t="inlineStr">
        <is>
          <t>SEM</t>
        </is>
      </c>
      <c r="C164" s="37" t="inlineStr">
        <is>
          <t>0332</t>
        </is>
      </c>
      <c r="D164" s="37" t="inlineStr">
        <is>
          <t>Дулов С.А</t>
        </is>
      </c>
      <c r="E164" s="37" t="inlineStr">
        <is>
          <t>в работе</t>
        </is>
      </c>
      <c r="F164" s="37" t="inlineStr">
        <is>
          <t>auto-added from work/transport block</t>
        </is>
      </c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3" t="n"/>
      <c r="P164" s="33" t="n"/>
    </row>
    <row r="165">
      <c r="A165" s="37" t="inlineStr">
        <is>
          <t>Каток</t>
        </is>
      </c>
      <c r="B165" s="37" t="inlineStr">
        <is>
          <t>грунтовый</t>
        </is>
      </c>
      <c r="C165" s="37" t="inlineStr">
        <is>
          <t>5885</t>
        </is>
      </c>
      <c r="D165" s="37" t="inlineStr">
        <is>
          <t>Вагабов З.М</t>
        </is>
      </c>
      <c r="E165" s="37" t="inlineStr">
        <is>
          <t>в работе</t>
        </is>
      </c>
      <c r="F165" s="37" t="inlineStr">
        <is>
          <t>auto-added from work/transport block</t>
        </is>
      </c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3" t="n"/>
      <c r="P165" s="33" t="n"/>
    </row>
    <row r="166" ht="51" customHeight="1">
      <c r="A166" s="37" t="inlineStr">
        <is>
          <t>Экскаватор</t>
        </is>
      </c>
      <c r="B166" s="37" t="inlineStr">
        <is>
          <t>HITACHI ZX330</t>
        </is>
      </c>
      <c r="C166" s="37" t="inlineStr">
        <is>
          <t>5741</t>
        </is>
      </c>
      <c r="D166" s="37" t="inlineStr">
        <is>
          <t>Суханов Р. В</t>
        </is>
      </c>
      <c r="E166" s="37" t="inlineStr">
        <is>
          <t>в работе</t>
        </is>
      </c>
      <c r="F166" s="37" t="inlineStr">
        <is>
          <t>auto-added from work/transport block</t>
        </is>
      </c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3" t="n"/>
      <c r="P166" s="33" t="n"/>
    </row>
    <row r="167" ht="25.5" customHeight="1">
      <c r="A167" s="37" t="inlineStr">
        <is>
          <t>Бульдозер</t>
        </is>
      </c>
      <c r="B167" s="37" t="inlineStr">
        <is>
          <t>SEM</t>
        </is>
      </c>
      <c r="C167" s="37" t="inlineStr">
        <is>
          <t>3193</t>
        </is>
      </c>
      <c r="D167" s="37" t="inlineStr">
        <is>
          <t>Уткин В. А</t>
        </is>
      </c>
      <c r="E167" s="37" t="inlineStr">
        <is>
          <t>в работе</t>
        </is>
      </c>
      <c r="F167" s="37" t="inlineStr">
        <is>
          <t>auto-added from work/transport block</t>
        </is>
      </c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3" t="n"/>
      <c r="P167" s="33" t="n"/>
    </row>
    <row r="168" ht="38.25" customHeight="1">
      <c r="A168" s="37" t="inlineStr">
        <is>
          <t>Экскаватор</t>
        </is>
      </c>
      <c r="B168" s="37" t="inlineStr">
        <is>
          <t>HITACHI330</t>
        </is>
      </c>
      <c r="C168" s="37" t="inlineStr">
        <is>
          <t>0337</t>
        </is>
      </c>
      <c r="D168" s="37" t="inlineStr">
        <is>
          <t>Пулатов Ю. З</t>
        </is>
      </c>
      <c r="E168" s="37" t="inlineStr">
        <is>
          <t>в работе</t>
        </is>
      </c>
      <c r="F168" s="37" t="inlineStr">
        <is>
          <t>auto-added from work/transport block</t>
        </is>
      </c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3" t="n"/>
      <c r="P168" s="33" t="n"/>
    </row>
    <row r="169" ht="51" customHeight="1">
      <c r="A169" s="37" t="inlineStr">
        <is>
          <t>Экскаватор</t>
        </is>
      </c>
      <c r="B169" s="37" t="inlineStr">
        <is>
          <t>JCB</t>
        </is>
      </c>
      <c r="C169" s="37" t="inlineStr">
        <is>
          <t>6041</t>
        </is>
      </c>
      <c r="D169" s="37" t="inlineStr">
        <is>
          <t>Григорьев А. В</t>
        </is>
      </c>
      <c r="E169" s="37" t="inlineStr">
        <is>
          <t>в работе</t>
        </is>
      </c>
      <c r="F169" s="37" t="inlineStr">
        <is>
          <t>auto-added from work/transport block</t>
        </is>
      </c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3" t="n"/>
      <c r="P169" s="33" t="n"/>
    </row>
    <row r="170" ht="51" customHeight="1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3" t="n"/>
      <c r="P170" s="33" t="n"/>
    </row>
    <row r="171" ht="38.25" customHeight="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3" t="n"/>
      <c r="P171" s="33" t="n"/>
    </row>
    <row r="172" ht="38.25" customHeight="1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3" t="n"/>
      <c r="P172" s="33" t="n"/>
    </row>
    <row r="173" ht="25.5" customHeight="1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3" t="n"/>
      <c r="P173" s="33" t="n"/>
    </row>
    <row r="174" ht="51" customHeight="1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3" t="n"/>
      <c r="P174" s="33" t="n"/>
    </row>
    <row r="175" ht="38.25" customHeight="1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3" t="n"/>
      <c r="P175" s="33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3" t="n"/>
      <c r="P176" s="33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3" t="n"/>
      <c r="P177" s="33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3" t="n"/>
      <c r="P178" s="33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3" t="n"/>
      <c r="P179" s="33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3" t="n"/>
      <c r="P180" s="33" t="n"/>
    </row>
    <row r="181">
      <c r="A181" s="33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3" t="n"/>
      <c r="N181" s="33" t="n"/>
      <c r="O181" s="33" t="n"/>
      <c r="P181" s="33" t="n"/>
    </row>
    <row r="182" ht="21.75" customHeight="1">
      <c r="A182" s="34" t="inlineStr">
        <is>
          <t>6. ПРОБЛЕМНЫЕ ВОПРОСЫ  (свободный текст)</t>
        </is>
      </c>
      <c r="B182" s="31" t="n"/>
      <c r="C182" s="31" t="n"/>
      <c r="D182" s="31" t="n"/>
      <c r="E182" s="31" t="n"/>
      <c r="F182" s="31" t="n"/>
      <c r="G182" s="31" t="n"/>
      <c r="H182" s="31" t="n"/>
      <c r="I182" s="31" t="n"/>
      <c r="J182" s="31" t="n"/>
      <c r="K182" s="31" t="n"/>
      <c r="L182" s="31" t="n"/>
      <c r="M182" s="31" t="n"/>
      <c r="N182" s="32" t="n"/>
      <c r="O182" s="33" t="n"/>
      <c r="P182" s="33" t="n"/>
    </row>
    <row r="183" ht="21.75" customHeight="1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3" t="n"/>
      <c r="P183" s="33" t="n"/>
    </row>
    <row r="184" ht="21.75" customHeight="1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3" t="n"/>
      <c r="P184" s="33" t="n"/>
    </row>
    <row r="185" ht="21.75" customHeight="1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3" t="n"/>
      <c r="P185" s="33" t="n"/>
    </row>
    <row r="186" ht="21.75" customHeight="1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3" t="n"/>
      <c r="P186" s="33" t="n"/>
    </row>
    <row r="187" ht="21.75" customHeight="1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3" t="n"/>
      <c r="P187" s="33" t="n"/>
    </row>
    <row r="188">
      <c r="A188" s="33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3" t="n"/>
      <c r="P188" s="33" t="n"/>
    </row>
    <row r="189" ht="21.75" customHeight="1">
      <c r="A189" s="34" t="inlineStr">
        <is>
          <t>7. ПЕРСОНАЛ</t>
        </is>
      </c>
      <c r="B189" s="31" t="n"/>
      <c r="C189" s="31" t="n"/>
      <c r="D189" s="31" t="n"/>
      <c r="E189" s="31" t="n"/>
      <c r="F189" s="31" t="n"/>
      <c r="G189" s="31" t="n"/>
      <c r="H189" s="31" t="n"/>
      <c r="I189" s="31" t="n"/>
      <c r="J189" s="31" t="n"/>
      <c r="K189" s="31" t="n"/>
      <c r="L189" s="31" t="n"/>
      <c r="M189" s="31" t="n"/>
      <c r="N189" s="32" t="n"/>
      <c r="O189" s="33" t="n"/>
      <c r="P189" s="33" t="n"/>
    </row>
    <row r="190" ht="27.75" customHeight="1">
      <c r="A190" s="35" t="inlineStr">
        <is>
          <t>ДР (чел.)</t>
        </is>
      </c>
      <c r="B190" s="35" t="inlineStr">
        <is>
          <t>ИТР (чел.)</t>
        </is>
      </c>
      <c r="C190" s="35" t="inlineStr">
        <is>
          <t>Водители (чел.)</t>
        </is>
      </c>
      <c r="D190" s="35" t="inlineStr">
        <is>
          <t>Механизаторы (чел.)</t>
        </is>
      </c>
      <c r="E190" s="35" t="inlineStr">
        <is>
          <t>Примечание</t>
        </is>
      </c>
      <c r="F190" s="33" t="n"/>
      <c r="G190" s="33" t="n"/>
      <c r="H190" s="33" t="n"/>
      <c r="I190" s="33" t="n"/>
      <c r="J190" s="33" t="n"/>
      <c r="K190" s="33" t="n"/>
      <c r="L190" s="33" t="n"/>
      <c r="M190" s="33" t="n"/>
      <c r="N190" s="33" t="n"/>
      <c r="O190" s="33" t="n"/>
      <c r="P190" s="33" t="n"/>
    </row>
    <row r="191" ht="21.75" customHeight="1">
      <c r="A191" s="37" t="n">
        <v>3</v>
      </c>
      <c r="B191" s="37" t="n">
        <v>4</v>
      </c>
      <c r="C191" s="37" t="n">
        <v>18</v>
      </c>
      <c r="D191" s="37" t="n">
        <v>13</v>
      </c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3" t="n"/>
      <c r="P191" s="33" t="n"/>
    </row>
    <row r="192">
      <c r="A192" s="33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3" t="n"/>
      <c r="N192" s="33" t="n"/>
      <c r="O192" s="33" t="n"/>
      <c r="P192" s="33" t="n"/>
    </row>
    <row r="193">
      <c r="A193" s="34" t="inlineStr">
        <is>
          <t>8. НАКОПИТЕЛИ  (ненулевые накопители в пределах участка)</t>
        </is>
      </c>
      <c r="B193" s="31" t="n"/>
      <c r="C193" s="31" t="n"/>
      <c r="D193" s="31" t="n"/>
      <c r="E193" s="31" t="n"/>
      <c r="F193" s="31" t="n"/>
      <c r="G193" s="31" t="n"/>
      <c r="H193" s="31" t="n"/>
      <c r="I193" s="31" t="n"/>
      <c r="J193" s="31" t="n"/>
      <c r="K193" s="31" t="n"/>
      <c r="L193" s="31" t="n"/>
      <c r="M193" s="31" t="n"/>
      <c r="N193" s="32" t="n"/>
      <c r="O193" s="33" t="n"/>
      <c r="P193" s="33" t="n"/>
    </row>
    <row r="194">
      <c r="A194" s="35" t="inlineStr">
        <is>
          <t>Название накопителя</t>
        </is>
      </c>
      <c r="B194" s="35" t="inlineStr">
        <is>
          <t>ПК</t>
        </is>
      </c>
      <c r="C194" s="35" t="inlineStr">
        <is>
          <t>Объём на конец смены</t>
        </is>
      </c>
      <c r="D194" s="35" t="inlineStr">
        <is>
          <t>Ед. изм.</t>
        </is>
      </c>
      <c r="E194" s="35" t="inlineStr">
        <is>
          <t>Примечание</t>
        </is>
      </c>
      <c r="F194" s="33" t="n"/>
      <c r="G194" s="33" t="n"/>
      <c r="H194" s="33" t="n"/>
      <c r="I194" s="33" t="n"/>
      <c r="J194" s="33" t="n"/>
      <c r="K194" s="33" t="n"/>
      <c r="L194" s="33" t="n"/>
      <c r="M194" s="33" t="n"/>
      <c r="N194" s="33" t="n"/>
      <c r="O194" s="33" t="n"/>
      <c r="P194" s="33" t="n"/>
    </row>
    <row r="195">
      <c r="A195" s="37" t="inlineStr">
        <is>
          <t>Накопитель грунта</t>
        </is>
      </c>
      <c r="B195" s="37" t="inlineStr">
        <is>
          <t>ПК2646+20</t>
        </is>
      </c>
      <c r="C195" s="37" t="n">
        <v>1000</v>
      </c>
      <c r="D195" s="37" t="inlineStr">
        <is>
          <t>м3</t>
        </is>
      </c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3" t="n"/>
      <c r="P195" s="33" t="n"/>
    </row>
    <row r="196">
      <c r="A196" s="37" t="inlineStr">
        <is>
          <t>Накопитель песка АД13</t>
        </is>
      </c>
      <c r="B196" s="37" t="inlineStr">
        <is>
          <t>ПК2715+00</t>
        </is>
      </c>
      <c r="C196" s="37" t="n">
        <v>1000</v>
      </c>
      <c r="D196" s="37" t="inlineStr">
        <is>
          <t>м3</t>
        </is>
      </c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3" t="n"/>
      <c r="P196" s="33" t="n"/>
    </row>
    <row r="197">
      <c r="A197" s="37" t="inlineStr">
        <is>
          <t>Накопитель ЩПГС</t>
        </is>
      </c>
      <c r="B197" s="37" t="inlineStr">
        <is>
          <t>ПК2687+00</t>
        </is>
      </c>
      <c r="C197" s="37" t="n">
        <v>2000</v>
      </c>
      <c r="D197" s="37" t="inlineStr">
        <is>
          <t>м3</t>
        </is>
      </c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3" t="n"/>
      <c r="P197" s="33" t="n"/>
    </row>
    <row r="198">
      <c r="A198" s="37" t="inlineStr">
        <is>
          <t>Накопитель непригодного грунта</t>
        </is>
      </c>
      <c r="B198" s="37" t="inlineStr">
        <is>
          <t>ПК2651+00</t>
        </is>
      </c>
      <c r="C198" s="37" t="n">
        <v>35000</v>
      </c>
      <c r="D198" s="37" t="inlineStr">
        <is>
          <t>м3</t>
        </is>
      </c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3" t="n"/>
      <c r="P198" s="33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3" t="n"/>
      <c r="P199" s="33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3" t="n"/>
      <c r="P200" s="33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3" t="n"/>
      <c r="P201" s="33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3" t="n"/>
      <c r="P202" s="33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3" t="n"/>
      <c r="P203" s="33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3" t="n"/>
      <c r="P204" s="33" t="n"/>
    </row>
    <row r="205">
      <c r="A205" s="33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3" t="n"/>
      <c r="P205" s="33" t="n"/>
    </row>
    <row r="206">
      <c r="A206" s="34" t="inlineStr">
        <is>
          <t>9. ЗАБИВКА СВАЙ  (если была за смену)</t>
        </is>
      </c>
      <c r="B206" s="31" t="n"/>
      <c r="C206" s="31" t="n"/>
      <c r="D206" s="31" t="n"/>
      <c r="E206" s="31" t="n"/>
      <c r="F206" s="31" t="n"/>
      <c r="G206" s="31" t="n"/>
      <c r="H206" s="31" t="n"/>
      <c r="I206" s="31" t="n"/>
      <c r="J206" s="31" t="n"/>
      <c r="K206" s="31" t="n"/>
      <c r="L206" s="31" t="n"/>
      <c r="M206" s="31" t="n"/>
      <c r="N206" s="32" t="n"/>
      <c r="O206" s="33" t="n"/>
      <c r="P206" s="33" t="n"/>
    </row>
    <row r="207">
      <c r="A207" s="35" t="inlineStr">
        <is>
          <t>Поле</t>
        </is>
      </c>
      <c r="B207" s="35" t="inlineStr">
        <is>
          <t>ПК</t>
        </is>
      </c>
      <c r="C207" s="35" t="inlineStr">
        <is>
          <t>Тип работ</t>
        </is>
      </c>
      <c r="D207" s="35" t="inlineStr">
        <is>
          <t>Количество свай</t>
        </is>
      </c>
      <c r="E207" s="35" t="inlineStr">
        <is>
          <t>Тип/длина сваи</t>
        </is>
      </c>
      <c r="F207" s="35" t="inlineStr">
        <is>
          <t>Составная готова</t>
        </is>
      </c>
      <c r="G207" s="35" t="inlineStr">
        <is>
          <t>Примечание</t>
        </is>
      </c>
      <c r="H207" s="33" t="n"/>
      <c r="I207" s="33" t="n"/>
      <c r="J207" s="33" t="n"/>
      <c r="K207" s="33" t="n"/>
      <c r="L207" s="33" t="n"/>
      <c r="M207" s="33" t="n"/>
      <c r="N207" s="33" t="n"/>
      <c r="O207" s="33" t="n"/>
      <c r="P207" s="33" t="n"/>
    </row>
    <row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3" t="n"/>
      <c r="P208" s="33" t="n"/>
    </row>
    <row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3" t="n"/>
      <c r="P209" s="33" t="n"/>
    </row>
    <row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3" t="n"/>
      <c r="P210" s="33" t="n"/>
    </row>
    <row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3" t="n"/>
      <c r="P211" s="33" t="n"/>
    </row>
    <row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3" t="n"/>
      <c r="P212" s="33" t="n"/>
    </row>
    <row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3" t="n"/>
      <c r="P213" s="33" t="n"/>
    </row>
    <row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3" t="n"/>
      <c r="P214" s="33" t="n"/>
    </row>
    <row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3" t="n"/>
      <c r="P215" s="33" t="n"/>
    </row>
    <row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3" t="n"/>
      <c r="P216" s="33" t="n"/>
    </row>
    <row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3" t="n"/>
      <c r="P217" s="33" t="n"/>
    </row>
    <row r="218">
      <c r="A218" s="33" t="n"/>
      <c r="B218" s="33" t="n"/>
      <c r="C218" s="33" t="n"/>
      <c r="D218" s="33" t="n"/>
      <c r="E218" s="33" t="n"/>
      <c r="F218" s="33" t="n"/>
      <c r="G218" s="33" t="n"/>
      <c r="H218" s="33" t="n"/>
      <c r="I218" s="33" t="n"/>
      <c r="J218" s="33" t="n"/>
      <c r="K218" s="33" t="n"/>
      <c r="L218" s="33" t="n"/>
      <c r="M218" s="33" t="n"/>
      <c r="N218" s="33" t="n"/>
      <c r="O218" s="33" t="n"/>
      <c r="P218" s="33" t="n"/>
    </row>
    <row r="219">
      <c r="A219" s="33" t="n"/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3" t="n"/>
      <c r="M219" s="33" t="n"/>
      <c r="N219" s="33" t="n"/>
      <c r="O219" s="33" t="n"/>
      <c r="P219" s="33" t="n"/>
    </row>
    <row r="220">
      <c r="A220" s="33" t="n"/>
      <c r="B220" s="33" t="n"/>
      <c r="C220" s="33" t="n"/>
      <c r="D220" s="33" t="n"/>
      <c r="E220" s="33" t="n"/>
      <c r="F220" s="33" t="n"/>
      <c r="G220" s="33" t="n"/>
      <c r="H220" s="33" t="n"/>
      <c r="I220" s="33" t="n"/>
      <c r="J220" s="33" t="n"/>
      <c r="K220" s="33" t="n"/>
      <c r="L220" s="33" t="n"/>
      <c r="M220" s="33" t="n"/>
      <c r="N220" s="33" t="n"/>
      <c r="O220" s="33" t="n"/>
      <c r="P220" s="33" t="n"/>
    </row>
    <row r="221">
      <c r="A221" s="33" t="n"/>
      <c r="B221" s="33" t="n"/>
      <c r="C221" s="33" t="n"/>
      <c r="D221" s="33" t="n"/>
      <c r="E221" s="33" t="n"/>
      <c r="F221" s="33" t="n"/>
      <c r="G221" s="33" t="n"/>
      <c r="H221" s="33" t="n"/>
      <c r="I221" s="33" t="n"/>
      <c r="J221" s="33" t="n"/>
      <c r="K221" s="33" t="n"/>
      <c r="L221" s="33" t="n"/>
      <c r="M221" s="33" t="n"/>
      <c r="N221" s="33" t="n"/>
      <c r="O221" s="33" t="n"/>
      <c r="P221" s="33" t="n"/>
    </row>
    <row r="222">
      <c r="A222" s="33" t="n"/>
      <c r="B222" s="33" t="n"/>
      <c r="C222" s="33" t="n"/>
      <c r="D222" s="33" t="n"/>
      <c r="E222" s="33" t="n"/>
      <c r="F222" s="33" t="n"/>
      <c r="G222" s="33" t="n"/>
      <c r="H222" s="33" t="n"/>
      <c r="I222" s="33" t="n"/>
      <c r="J222" s="33" t="n"/>
      <c r="K222" s="33" t="n"/>
      <c r="L222" s="33" t="n"/>
      <c r="M222" s="33" t="n"/>
      <c r="N222" s="33" t="n"/>
      <c r="O222" s="33" t="n"/>
      <c r="P222" s="33" t="n"/>
    </row>
    <row r="223">
      <c r="A223" s="33" t="n"/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3" t="n"/>
      <c r="M223" s="33" t="n"/>
      <c r="N223" s="33" t="n"/>
      <c r="O223" s="33" t="n"/>
      <c r="P223" s="33" t="n"/>
    </row>
    <row r="224">
      <c r="A224" s="33" t="n"/>
      <c r="B224" s="33" t="n"/>
      <c r="C224" s="33" t="n"/>
      <c r="D224" s="33" t="n"/>
      <c r="E224" s="33" t="n"/>
      <c r="F224" s="33" t="n"/>
      <c r="G224" s="33" t="n"/>
      <c r="H224" s="33" t="n"/>
      <c r="I224" s="33" t="n"/>
      <c r="J224" s="33" t="n"/>
      <c r="K224" s="33" t="n"/>
      <c r="L224" s="33" t="n"/>
      <c r="M224" s="33" t="n"/>
      <c r="N224" s="33" t="n"/>
      <c r="O224" s="33" t="n"/>
      <c r="P224" s="33" t="n"/>
    </row>
    <row r="225">
      <c r="A225" s="33" t="n"/>
      <c r="B225" s="33" t="n"/>
      <c r="C225" s="33" t="n"/>
      <c r="D225" s="33" t="n"/>
      <c r="E225" s="33" t="n"/>
      <c r="F225" s="33" t="n"/>
      <c r="G225" s="33" t="n"/>
      <c r="H225" s="33" t="n"/>
      <c r="I225" s="33" t="n"/>
      <c r="J225" s="33" t="n"/>
      <c r="K225" s="33" t="n"/>
      <c r="L225" s="33" t="n"/>
      <c r="M225" s="33" t="n"/>
      <c r="N225" s="33" t="n"/>
      <c r="O225" s="33" t="n"/>
      <c r="P225" s="33" t="n"/>
    </row>
    <row r="226">
      <c r="A226" s="33" t="n"/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  <c r="M226" s="33" t="n"/>
      <c r="N226" s="33" t="n"/>
      <c r="O226" s="33" t="n"/>
      <c r="P226" s="33" t="n"/>
    </row>
    <row r="227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33" t="n"/>
    </row>
    <row r="228">
      <c r="A228" s="33" t="n"/>
      <c r="B228" s="33" t="n"/>
      <c r="C228" s="33" t="n"/>
      <c r="D228" s="33" t="n"/>
      <c r="E228" s="33" t="n"/>
      <c r="F228" s="33" t="n"/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33" t="n"/>
    </row>
    <row r="229">
      <c r="A229" s="33" t="n"/>
      <c r="B229" s="33" t="n"/>
      <c r="C229" s="33" t="n"/>
      <c r="D229" s="33" t="n"/>
      <c r="E229" s="33" t="n"/>
      <c r="F229" s="33" t="n"/>
      <c r="G229" s="33" t="n"/>
      <c r="H229" s="33" t="n"/>
      <c r="I229" s="33" t="n"/>
      <c r="J229" s="33" t="n"/>
      <c r="K229" s="33" t="n"/>
      <c r="L229" s="33" t="n"/>
      <c r="M229" s="33" t="n"/>
      <c r="N229" s="33" t="n"/>
      <c r="O229" s="33" t="n"/>
      <c r="P229" s="33" t="n"/>
    </row>
    <row r="230">
      <c r="A230" s="33" t="n"/>
      <c r="B230" s="33" t="n"/>
      <c r="C230" s="33" t="n"/>
      <c r="D230" s="33" t="n"/>
      <c r="E230" s="33" t="n"/>
      <c r="F230" s="33" t="n"/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33" t="n"/>
    </row>
  </sheetData>
  <mergeCells count="16">
    <mergeCell ref="A30:N30"/>
    <mergeCell ref="A182:N182"/>
    <mergeCell ref="B6:N6"/>
    <mergeCell ref="A1:N1"/>
    <mergeCell ref="A124:N124"/>
    <mergeCell ref="A78:N78"/>
    <mergeCell ref="A8:C8"/>
    <mergeCell ref="A17:C17"/>
    <mergeCell ref="A7:N7"/>
    <mergeCell ref="A193:N193"/>
    <mergeCell ref="A189:N189"/>
    <mergeCell ref="A3:N3"/>
    <mergeCell ref="E8:H8"/>
    <mergeCell ref="A106:N106"/>
    <mergeCell ref="A206:N206"/>
    <mergeCell ref="E17:G17"/>
  </mergeCells>
  <dataValidations count="15">
    <dataValidation sqref="B5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Смены" prompt="Выберите значение из выпадающего списка." type="list">
      <formula1>'Справочники'!$B$2:$C$2</formula1>
    </dataValidation>
    <dataValidation sqref="C5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Участки" prompt="Выберите значение из выпадающего списка." type="list">
      <formula1>'Справочники'!$B$3:$I$3</formula1>
    </dataValidation>
    <dataValidation sqref="D5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Направления" prompt="Выберите значение из выпадающего списка." type="list">
      <formula1>'Справочники'!$B$4:$C$4</formula1>
    </dataValidation>
    <dataValidation sqref="G32:G76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Материалы" prompt="Выберите значение из выпадающего списка." type="list">
      <formula1>'Справочники'!$B$5:$G$5</formula1>
    </dataValidation>
    <dataValidation sqref="E32:E76 J108:J122 K80:K104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Владельцы" prompt="Выберите значение из выпадающего списка." type="list">
      <formula1>'Справочники'!$B$6:$E$6</formula1>
    </dataValidation>
    <dataValidation sqref="A126:A180 B32:B76 G108:G122 H80:H104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ТипТехники" prompt="Выберите значение из выпадающего списка." type="list">
      <formula1>'Справочники'!$B$7:$G$7</formula1>
    </dataValidation>
    <dataValidation sqref="B126:B180 C32:C76 H108:H122 I80:I104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Модели" prompt="Выберите значение из выпадающего списка." type="list">
      <formula1>'Справочники'!$B$8:$Q$8</formula1>
    </dataValidation>
    <dataValidation sqref="H32:I76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Локации" prompt="Выберите значение из выпадающего списка." type="list">
      <formula1>'Справочники'!$B$9:$R$9</formula1>
    </dataValidation>
    <dataValidation sqref="A80:A104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Конструктивы" prompt="Выберите значение из выпадающего списка." type="list">
      <formula1>'Справочники'!$B$10:$K$10</formula1>
    </dataValidation>
    <dataValidation sqref="A108:A122 B80:B104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ВидыРабот" prompt="Выберите значение из выпадающего списка." type="list">
      <formula1>'Справочники'!$B$11:$Q$11</formula1>
    </dataValidation>
    <dataValidation sqref="D195:D204 L32:L76 L108:L122 M80:M104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ЕдИзм" prompt="Выберите значение из выпадающего списка." type="list">
      <formula1>'Справочники'!$B$12:$F$12</formula1>
    </dataValidation>
    <dataValidation sqref="E126:E180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СтатусТехники" prompt="Выберите значение из выпадающего списка." type="list">
      <formula1>'Справочники'!$B$13:$G$13</formula1>
    </dataValidation>
    <dataValidation sqref="A195:A204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Накопители" prompt="Выберите значение из выпадающего списка." type="list">
      <formula1>'Справочники'!$B$15:$E$15</formula1>
    </dataValidation>
    <dataValidation sqref="C208:C217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ТипСвайныхРабот" prompt="Выберите значение из выпадающего списка." type="list">
      <formula1>'Справочники'!$B$16:$C$16</formula1>
    </dataValidation>
    <dataValidation sqref="F208:F217" showDropDown="0" showInputMessage="1" showErrorMessage="1" allowBlank="1" errorTitle="Недопустимое значение" error="Выберите значение из списка или добавьте новое значение на листе Справочники." promptTitle="СоставнаяСвая" prompt="Выберите значение из выпадающего списка." type="list">
      <formula1>'Справочники'!$B$17:$D$17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3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7109375" defaultRowHeight="15"/>
  <cols>
    <col width="28" customWidth="1" min="1" max="39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</cols>
  <sheetData>
    <row r="1">
      <c r="A1" s="30" t="inlineStr">
        <is>
          <t>Справочник</t>
        </is>
      </c>
      <c r="B1" s="30" t="inlineStr">
        <is>
          <t>Значения -&gt;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</row>
    <row r="2">
      <c r="A2" s="47" t="inlineStr">
        <is>
          <t>Смены</t>
        </is>
      </c>
      <c r="B2" s="48" t="inlineStr">
        <is>
          <t>день</t>
        </is>
      </c>
      <c r="C2" s="48" t="inlineStr">
        <is>
          <t>ночь</t>
        </is>
      </c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Q2" s="46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</row>
    <row r="3">
      <c r="A3" s="47" t="inlineStr">
        <is>
          <t>Участки</t>
        </is>
      </c>
      <c r="B3" s="48" t="inlineStr">
        <is>
          <t>участок №1</t>
        </is>
      </c>
      <c r="C3" s="48" t="inlineStr">
        <is>
          <t>участок №2</t>
        </is>
      </c>
      <c r="D3" s="48" t="inlineStr">
        <is>
          <t>участок №3</t>
        </is>
      </c>
      <c r="E3" s="48" t="inlineStr">
        <is>
          <t>участок №4</t>
        </is>
      </c>
      <c r="F3" s="48" t="inlineStr">
        <is>
          <t>участок №5</t>
        </is>
      </c>
      <c r="G3" s="48" t="inlineStr">
        <is>
          <t>участок №6</t>
        </is>
      </c>
      <c r="H3" s="48" t="inlineStr">
        <is>
          <t>участок №7</t>
        </is>
      </c>
      <c r="I3" s="48" t="inlineStr">
        <is>
          <t>участок №8</t>
        </is>
      </c>
      <c r="J3" s="46" t="n"/>
      <c r="K3" s="46" t="n"/>
      <c r="L3" s="46" t="n"/>
      <c r="M3" s="46" t="n"/>
      <c r="N3" s="46" t="n"/>
      <c r="O3" s="46" t="n"/>
      <c r="P3" s="46" t="n"/>
      <c r="Q3" s="46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</row>
    <row r="4">
      <c r="A4" s="47" t="inlineStr">
        <is>
          <t>Направления</t>
        </is>
      </c>
      <c r="B4" s="48" t="inlineStr">
        <is>
          <t>ЗП</t>
        </is>
      </c>
      <c r="C4" s="48" t="inlineStr">
        <is>
          <t>ИССО</t>
        </is>
      </c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46" t="n"/>
      <c r="AQ4" s="46" t="n"/>
      <c r="AR4" s="46" t="n"/>
      <c r="AS4" s="46" t="n"/>
      <c r="AT4" s="46" t="n"/>
      <c r="AU4" s="46" t="n"/>
      <c r="AV4" s="46" t="n"/>
      <c r="AW4" s="46" t="n"/>
      <c r="AX4" s="46" t="n"/>
      <c r="AY4" s="46" t="n"/>
      <c r="AZ4" s="46" t="n"/>
      <c r="BA4" s="46" t="n"/>
      <c r="BB4" s="46" t="n"/>
      <c r="BC4" s="46" t="n"/>
      <c r="BD4" s="46" t="n"/>
      <c r="BE4" s="46" t="n"/>
      <c r="BF4" s="46" t="n"/>
      <c r="BG4" s="46" t="n"/>
      <c r="BH4" s="46" t="n"/>
    </row>
    <row r="5">
      <c r="A5" s="47" t="inlineStr">
        <is>
          <t>Материалы</t>
        </is>
      </c>
      <c r="B5" s="48" t="inlineStr">
        <is>
          <t>песок</t>
        </is>
      </c>
      <c r="C5" s="48" t="inlineStr">
        <is>
          <t>грунт</t>
        </is>
      </c>
      <c r="D5" s="48" t="inlineStr">
        <is>
          <t>ЩПГС</t>
        </is>
      </c>
      <c r="E5" s="48" t="inlineStr">
        <is>
          <t>грунта</t>
        </is>
      </c>
      <c r="F5" s="48" t="inlineStr">
        <is>
          <t>песка АД13</t>
        </is>
      </c>
      <c r="G5" s="46" t="inlineStr">
        <is>
          <t>непригодного грунта</t>
        </is>
      </c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  <c r="AO5" s="46" t="n"/>
      <c r="AP5" s="46" t="n"/>
      <c r="AQ5" s="46" t="n"/>
      <c r="AR5" s="46" t="n"/>
      <c r="AS5" s="46" t="n"/>
      <c r="AT5" s="46" t="n"/>
      <c r="AU5" s="46" t="n"/>
      <c r="AV5" s="46" t="n"/>
      <c r="AW5" s="46" t="n"/>
      <c r="AX5" s="46" t="n"/>
      <c r="AY5" s="46" t="n"/>
      <c r="AZ5" s="46" t="n"/>
      <c r="BA5" s="46" t="n"/>
      <c r="BB5" s="46" t="n"/>
      <c r="BC5" s="46" t="n"/>
      <c r="BD5" s="46" t="n"/>
      <c r="BE5" s="46" t="n"/>
      <c r="BF5" s="46" t="n"/>
      <c r="BG5" s="46" t="n"/>
      <c r="BH5" s="46" t="n"/>
    </row>
    <row r="6">
      <c r="A6" s="47" t="inlineStr">
        <is>
          <t>Владельцы</t>
        </is>
      </c>
      <c r="B6" s="48" t="inlineStr">
        <is>
          <t>ЖДС</t>
        </is>
      </c>
      <c r="C6" s="48" t="inlineStr">
        <is>
          <t>ООО "Алмаз"</t>
        </is>
      </c>
      <c r="D6" s="48" t="inlineStr">
        <is>
          <t>ООО «РейлЛогистик»</t>
        </is>
      </c>
      <c r="E6" s="46" t="inlineStr">
        <is>
          <t>ООО «Алмаз»</t>
        </is>
      </c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6" t="n"/>
      <c r="AI6" s="46" t="n"/>
      <c r="AJ6" s="46" t="n"/>
      <c r="AK6" s="46" t="n"/>
      <c r="AL6" s="46" t="n"/>
      <c r="AM6" s="46" t="n"/>
      <c r="AN6" s="46" t="n"/>
      <c r="AO6" s="46" t="n"/>
      <c r="AP6" s="46" t="n"/>
      <c r="AQ6" s="46" t="n"/>
      <c r="AR6" s="46" t="n"/>
      <c r="AS6" s="46" t="n"/>
      <c r="AT6" s="46" t="n"/>
      <c r="AU6" s="46" t="n"/>
      <c r="AV6" s="46" t="n"/>
      <c r="AW6" s="46" t="n"/>
      <c r="AX6" s="46" t="n"/>
      <c r="AY6" s="46" t="n"/>
      <c r="AZ6" s="46" t="n"/>
      <c r="BA6" s="46" t="n"/>
      <c r="BB6" s="46" t="n"/>
      <c r="BC6" s="46" t="n"/>
      <c r="BD6" s="46" t="n"/>
      <c r="BE6" s="46" t="n"/>
      <c r="BF6" s="46" t="n"/>
      <c r="BG6" s="46" t="n"/>
      <c r="BH6" s="46" t="n"/>
    </row>
    <row r="7">
      <c r="A7" s="47" t="inlineStr">
        <is>
          <t>ТипТехники</t>
        </is>
      </c>
      <c r="B7" s="48" t="inlineStr">
        <is>
          <t>Самосвал</t>
        </is>
      </c>
      <c r="C7" s="48" t="inlineStr">
        <is>
          <t>Экскаватор</t>
        </is>
      </c>
      <c r="D7" s="48" t="inlineStr">
        <is>
          <t>Бульдозер</t>
        </is>
      </c>
      <c r="E7" s="48" t="inlineStr">
        <is>
          <t>Каток</t>
        </is>
      </c>
      <c r="F7" s="48" t="inlineStr">
        <is>
          <t>Автогрейдер</t>
        </is>
      </c>
      <c r="G7" s="48" t="inlineStr">
        <is>
          <t>Камаз</t>
        </is>
      </c>
      <c r="H7" s="48" t="n"/>
      <c r="I7" s="48" t="n"/>
      <c r="J7" s="48" t="n"/>
      <c r="K7" s="48" t="n"/>
      <c r="L7" s="48" t="n"/>
      <c r="M7" s="48" t="n"/>
      <c r="N7" s="48" t="n"/>
      <c r="O7" s="48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46" t="n"/>
      <c r="AI7" s="46" t="n"/>
      <c r="AJ7" s="46" t="n"/>
      <c r="AK7" s="46" t="n"/>
      <c r="AL7" s="46" t="n"/>
      <c r="AM7" s="46" t="n"/>
      <c r="AN7" s="46" t="n"/>
      <c r="AO7" s="46" t="n"/>
      <c r="AP7" s="46" t="n"/>
      <c r="AQ7" s="46" t="n"/>
      <c r="AR7" s="46" t="n"/>
      <c r="AS7" s="46" t="n"/>
      <c r="AT7" s="46" t="n"/>
      <c r="AU7" s="46" t="n"/>
      <c r="AV7" s="46" t="n"/>
      <c r="AW7" s="46" t="n"/>
      <c r="AX7" s="46" t="n"/>
      <c r="AY7" s="46" t="n"/>
      <c r="AZ7" s="46" t="n"/>
      <c r="BA7" s="46" t="n"/>
      <c r="BB7" s="46" t="n"/>
      <c r="BC7" s="46" t="n"/>
      <c r="BD7" s="46" t="n"/>
      <c r="BE7" s="46" t="n"/>
      <c r="BF7" s="46" t="n"/>
      <c r="BG7" s="46" t="n"/>
      <c r="BH7" s="46" t="n"/>
    </row>
    <row r="8">
      <c r="A8" s="47" t="inlineStr">
        <is>
          <t>Модели</t>
        </is>
      </c>
      <c r="B8" s="48" t="inlineStr">
        <is>
          <t>FAW</t>
        </is>
      </c>
      <c r="C8" s="48" t="inlineStr">
        <is>
          <t>HOWO</t>
        </is>
      </c>
      <c r="D8" s="48" t="inlineStr">
        <is>
          <t>CAT 330</t>
        </is>
      </c>
      <c r="E8" s="48" t="inlineStr">
        <is>
          <t>SHANTUY</t>
        </is>
      </c>
      <c r="F8" s="48" t="inlineStr">
        <is>
          <t>SEM</t>
        </is>
      </c>
      <c r="G8" s="48" t="inlineStr">
        <is>
          <t>SANY 180</t>
        </is>
      </c>
      <c r="H8" s="48" t="inlineStr">
        <is>
          <t>HITACHI 330</t>
        </is>
      </c>
      <c r="I8" s="48" t="inlineStr">
        <is>
          <t>SEM 922</t>
        </is>
      </c>
      <c r="J8" s="48" t="inlineStr">
        <is>
          <t>HITACHI ZX330</t>
        </is>
      </c>
      <c r="K8" s="48" t="inlineStr">
        <is>
          <t>HITACHI 380</t>
        </is>
      </c>
      <c r="L8" s="48" t="inlineStr">
        <is>
          <t>HITACHI330</t>
        </is>
      </c>
      <c r="M8" s="48" t="inlineStr">
        <is>
          <t>JCB</t>
        </is>
      </c>
      <c r="N8" s="48" t="inlineStr">
        <is>
          <t>SITRAC</t>
        </is>
      </c>
      <c r="O8" s="48" t="inlineStr">
        <is>
          <t>КДМ</t>
        </is>
      </c>
      <c r="P8" s="48" t="inlineStr">
        <is>
          <t>SHANTUI</t>
        </is>
      </c>
      <c r="Q8" s="48" t="inlineStr">
        <is>
          <t>грунтовый</t>
        </is>
      </c>
      <c r="R8" s="48" t="n"/>
      <c r="S8" s="48" t="n"/>
      <c r="T8" s="48" t="n"/>
      <c r="U8" s="48" t="n"/>
      <c r="V8" s="48" t="n"/>
      <c r="W8" s="48" t="n"/>
      <c r="X8" s="48" t="n"/>
      <c r="Y8" s="48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46" t="n"/>
      <c r="AI8" s="46" t="n"/>
      <c r="AJ8" s="46" t="n"/>
      <c r="AK8" s="46" t="n"/>
      <c r="AL8" s="46" t="n"/>
      <c r="AM8" s="46" t="n"/>
      <c r="AN8" s="46" t="n"/>
      <c r="AO8" s="46" t="n"/>
      <c r="AP8" s="46" t="n"/>
      <c r="AQ8" s="46" t="n"/>
      <c r="AR8" s="46" t="n"/>
      <c r="AS8" s="46" t="n"/>
      <c r="AT8" s="46" t="n"/>
      <c r="AU8" s="46" t="n"/>
      <c r="AV8" s="46" t="n"/>
      <c r="AW8" s="46" t="n"/>
      <c r="AX8" s="46" t="n"/>
      <c r="AY8" s="46" t="n"/>
      <c r="AZ8" s="46" t="n"/>
      <c r="BA8" s="46" t="n"/>
      <c r="BB8" s="46" t="n"/>
      <c r="BC8" s="46" t="n"/>
      <c r="BD8" s="46" t="n"/>
      <c r="BE8" s="46" t="n"/>
      <c r="BF8" s="46" t="n"/>
      <c r="BG8" s="46" t="n"/>
      <c r="BH8" s="46" t="n"/>
    </row>
    <row r="9" ht="25.5" customHeight="1">
      <c r="A9" s="47" t="inlineStr">
        <is>
          <t>Локации</t>
        </is>
      </c>
      <c r="B9" s="48" t="inlineStr">
        <is>
          <t>карьер Васильки</t>
        </is>
      </c>
      <c r="C9" s="48" t="inlineStr">
        <is>
          <t>АД5 ПК2698+00</t>
        </is>
      </c>
      <c r="D9" s="48" t="inlineStr">
        <is>
          <t>накопитель песка АД13 ПК2715+00</t>
        </is>
      </c>
      <c r="E9" s="48" t="inlineStr">
        <is>
          <t>накопитель ПК2715+00</t>
        </is>
      </c>
      <c r="F9" s="48" t="inlineStr">
        <is>
          <t>карьер Спасово</t>
        </is>
      </c>
      <c r="G9" s="48" t="inlineStr">
        <is>
          <t>АД9 ПК2657+40</t>
        </is>
      </c>
      <c r="H9" s="48" t="inlineStr">
        <is>
          <t>АД5 ПК51+20-ПК53+20</t>
        </is>
      </c>
      <c r="I9" s="48" t="inlineStr">
        <is>
          <t>АД5 тех. проезд к АД13</t>
        </is>
      </c>
      <c r="J9" s="48" t="inlineStr">
        <is>
          <t>АД5 тех. проезд на АД13</t>
        </is>
      </c>
      <c r="K9" s="48" t="inlineStr">
        <is>
          <t>накопитель песка АД6 ПК2687+00</t>
        </is>
      </c>
      <c r="L9" s="48" t="inlineStr">
        <is>
          <t>АД6 накопитель ЩПГС ПК2687+00</t>
        </is>
      </c>
      <c r="M9" s="48" t="inlineStr">
        <is>
          <t>участок усиления 5.2</t>
        </is>
      </c>
      <c r="N9" s="48" t="inlineStr">
        <is>
          <t>накопитель грунта АД9 ПК2646+20</t>
        </is>
      </c>
      <c r="O9" s="48" t="inlineStr">
        <is>
          <t>Накопитель грунта</t>
        </is>
      </c>
      <c r="P9" s="48" t="inlineStr">
        <is>
          <t>Накопитель песка АД13</t>
        </is>
      </c>
      <c r="Q9" s="48" t="inlineStr">
        <is>
          <t>Накопитель ЩПГС</t>
        </is>
      </c>
      <c r="R9" s="46" t="inlineStr">
        <is>
          <t>Накопитель непригодного грунта</t>
        </is>
      </c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6" t="n"/>
      <c r="AH9" s="46" t="n"/>
      <c r="AI9" s="46" t="n"/>
      <c r="AJ9" s="46" t="n"/>
      <c r="AK9" s="46" t="n"/>
      <c r="AL9" s="46" t="n"/>
      <c r="AM9" s="46" t="n"/>
      <c r="AN9" s="46" t="n"/>
      <c r="AO9" s="46" t="n"/>
      <c r="AP9" s="46" t="n"/>
      <c r="AQ9" s="46" t="n"/>
      <c r="AR9" s="46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  <c r="BF9" s="46" t="n"/>
      <c r="BG9" s="46" t="n"/>
      <c r="BH9" s="46" t="n"/>
    </row>
    <row r="10">
      <c r="A10" s="47" t="inlineStr">
        <is>
          <t>Конструктивы</t>
        </is>
      </c>
      <c r="B10" s="48" t="inlineStr">
        <is>
          <t>АД9</t>
        </is>
      </c>
      <c r="C10" s="48" t="inlineStr">
        <is>
          <t>АД6</t>
        </is>
      </c>
      <c r="D10" s="48" t="inlineStr">
        <is>
          <t>АД5</t>
        </is>
      </c>
      <c r="E10" s="48" t="inlineStr">
        <is>
          <t>стартовая площадка участка усиления 5.2</t>
        </is>
      </c>
      <c r="F10" s="48" t="inlineStr">
        <is>
          <t>ОХ</t>
        </is>
      </c>
      <c r="G10" s="48" t="inlineStr">
        <is>
          <t>стартовые площадки участков усиления №18 и №19</t>
        </is>
      </c>
      <c r="H10" s="48" t="inlineStr">
        <is>
          <t>Стартовая площадка участка усиления №5.2</t>
        </is>
      </c>
      <c r="I10" s="48" t="inlineStr">
        <is>
          <t>Тех. проезд к АД13</t>
        </is>
      </c>
      <c r="J10" s="48" t="inlineStr">
        <is>
          <t>Работа на ИССО</t>
        </is>
      </c>
      <c r="K10" s="46" t="inlineStr">
        <is>
          <t>АД 5</t>
        </is>
      </c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46" t="n"/>
      <c r="AH10" s="46" t="n"/>
      <c r="AI10" s="46" t="n"/>
      <c r="AJ10" s="46" t="n"/>
      <c r="AK10" s="46" t="n"/>
      <c r="AL10" s="46" t="n"/>
      <c r="AM10" s="46" t="n"/>
      <c r="AN10" s="46" t="n"/>
      <c r="AO10" s="46" t="n"/>
      <c r="AP10" s="46" t="n"/>
      <c r="AQ10" s="46" t="n"/>
      <c r="AR10" s="46" t="n"/>
      <c r="AS10" s="46" t="n"/>
      <c r="AT10" s="46" t="n"/>
      <c r="AU10" s="46" t="n"/>
      <c r="AV10" s="46" t="n"/>
      <c r="AW10" s="46" t="n"/>
      <c r="AX10" s="46" t="n"/>
      <c r="AY10" s="46" t="n"/>
      <c r="AZ10" s="46" t="n"/>
      <c r="BA10" s="46" t="n"/>
      <c r="BB10" s="46" t="n"/>
      <c r="BC10" s="46" t="n"/>
      <c r="BD10" s="46" t="n"/>
      <c r="BE10" s="46" t="n"/>
      <c r="BF10" s="46" t="n"/>
      <c r="BG10" s="46" t="n"/>
      <c r="BH10" s="46" t="n"/>
    </row>
    <row r="11" ht="51" customHeight="1">
      <c r="A11" s="47" t="inlineStr">
        <is>
          <t>ВидыРабот</t>
        </is>
      </c>
      <c r="B11" s="48" t="inlineStr">
        <is>
          <t>Разработка выемки</t>
        </is>
      </c>
      <c r="C11" s="48" t="inlineStr">
        <is>
          <t>Устройство насыпи из песка свайной площадки 5.2</t>
        </is>
      </c>
      <c r="D11" s="48" t="inlineStr">
        <is>
          <t>Уплотнение насыпи площадки свайного поля 5.2</t>
        </is>
      </c>
      <c r="E11" s="48" t="inlineStr">
        <is>
          <t>Разработка грунта стартовой площадки с двойной перекидкой</t>
        </is>
      </c>
      <c r="F11" s="48" t="inlineStr">
        <is>
          <t>Устройство насыпи</t>
        </is>
      </c>
      <c r="G11" s="48" t="inlineStr">
        <is>
          <t>Планировка и уплотнение насыпи земполотна</t>
        </is>
      </c>
      <c r="H11" s="48" t="inlineStr">
        <is>
          <t>Устройство временной водоотводной канавы вдоль полосы отвода</t>
        </is>
      </c>
      <c r="I11" s="48" t="inlineStr">
        <is>
          <t>Планировка насыпи из песка до проектных отметок</t>
        </is>
      </c>
      <c r="J11" s="48" t="inlineStr">
        <is>
          <t>Устройство насыпи из песка на тех. проезде</t>
        </is>
      </c>
      <c r="K11" s="48" t="inlineStr">
        <is>
          <t>Погрузка непригодного грунта с выгрузкой на накопителе</t>
        </is>
      </c>
      <c r="L11" s="48" t="inlineStr">
        <is>
          <t>Работа на ИССО</t>
        </is>
      </c>
      <c r="M11" s="48" t="inlineStr">
        <is>
          <t>Погрузка грунта</t>
        </is>
      </c>
      <c r="N11" s="48" t="inlineStr">
        <is>
          <t>Устройство насыпи из не дренирующего грунта (глины)</t>
        </is>
      </c>
      <c r="O11" s="48" t="inlineStr">
        <is>
          <t>Приемка песка в накопитель</t>
        </is>
      </c>
      <c r="P11" s="48" t="inlineStr">
        <is>
          <t>Погрузка песка с накопителя</t>
        </is>
      </c>
      <c r="Q11" s="48" t="inlineStr">
        <is>
          <t>Прием ЩПГС в конус</t>
        </is>
      </c>
      <c r="R11" s="48" t="n"/>
      <c r="S11" s="48" t="n"/>
      <c r="T11" s="48" t="n"/>
      <c r="U11" s="48" t="n"/>
      <c r="V11" s="48" t="n"/>
      <c r="W11" s="48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  <c r="AG11" s="46" t="n"/>
      <c r="AH11" s="46" t="n"/>
      <c r="AI11" s="46" t="n"/>
      <c r="AJ11" s="46" t="n"/>
      <c r="AK11" s="46" t="n"/>
      <c r="AL11" s="46" t="n"/>
      <c r="AM11" s="46" t="n"/>
      <c r="AN11" s="46" t="n"/>
      <c r="AO11" s="46" t="n"/>
      <c r="AP11" s="46" t="n"/>
      <c r="AQ11" s="46" t="n"/>
      <c r="AR11" s="46" t="n"/>
      <c r="AS11" s="46" t="n"/>
      <c r="AT11" s="46" t="n"/>
      <c r="AU11" s="46" t="n"/>
      <c r="AV11" s="46" t="n"/>
      <c r="AW11" s="46" t="n"/>
      <c r="AX11" s="46" t="n"/>
      <c r="AY11" s="46" t="n"/>
      <c r="AZ11" s="46" t="n"/>
      <c r="BA11" s="46" t="n"/>
      <c r="BB11" s="46" t="n"/>
      <c r="BC11" s="46" t="n"/>
      <c r="BD11" s="46" t="n"/>
      <c r="BE11" s="46" t="n"/>
      <c r="BF11" s="46" t="n"/>
      <c r="BG11" s="46" t="n"/>
      <c r="BH11" s="46" t="n"/>
    </row>
    <row r="12">
      <c r="A12" s="47" t="inlineStr">
        <is>
          <t>ЕдИзм</t>
        </is>
      </c>
      <c r="B12" s="48" t="inlineStr">
        <is>
          <t>м3</t>
        </is>
      </c>
      <c r="C12" s="48" t="inlineStr">
        <is>
          <t>т</t>
        </is>
      </c>
      <c r="D12" s="48" t="inlineStr">
        <is>
          <t>м2</t>
        </is>
      </c>
      <c r="E12" s="48" t="inlineStr">
        <is>
          <t>шт</t>
        </is>
      </c>
      <c r="F12" s="48" t="inlineStr">
        <is>
          <t>м</t>
        </is>
      </c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46" t="n"/>
      <c r="AH12" s="46" t="n"/>
      <c r="AI12" s="46" t="n"/>
      <c r="AJ12" s="46" t="n"/>
      <c r="AK12" s="46" t="n"/>
      <c r="AL12" s="46" t="n"/>
      <c r="AM12" s="46" t="n"/>
      <c r="AN12" s="46" t="n"/>
      <c r="AO12" s="46" t="n"/>
      <c r="AP12" s="46" t="n"/>
      <c r="AQ12" s="46" t="n"/>
      <c r="AR12" s="46" t="n"/>
      <c r="AS12" s="46" t="n"/>
      <c r="AT12" s="46" t="n"/>
      <c r="AU12" s="46" t="n"/>
      <c r="AV12" s="46" t="n"/>
      <c r="AW12" s="46" t="n"/>
      <c r="AX12" s="46" t="n"/>
      <c r="AY12" s="46" t="n"/>
      <c r="AZ12" s="46" t="n"/>
      <c r="BA12" s="46" t="n"/>
      <c r="BB12" s="46" t="n"/>
      <c r="BC12" s="46" t="n"/>
      <c r="BD12" s="46" t="n"/>
      <c r="BE12" s="46" t="n"/>
      <c r="BF12" s="46" t="n"/>
      <c r="BG12" s="46" t="n"/>
      <c r="BH12" s="46" t="n"/>
    </row>
    <row r="13">
      <c r="A13" s="47" t="inlineStr">
        <is>
          <t>СтатусТехники</t>
        </is>
      </c>
      <c r="B13" s="48" t="inlineStr">
        <is>
          <t>в работе</t>
        </is>
      </c>
      <c r="C13" s="48" t="inlineStr">
        <is>
          <t>ремонт</t>
        </is>
      </c>
      <c r="D13" s="48" t="inlineStr">
        <is>
          <t>простой</t>
        </is>
      </c>
      <c r="E13" s="48" t="inlineStr">
        <is>
          <t>резерв</t>
        </is>
      </c>
      <c r="F13" s="48" t="inlineStr">
        <is>
          <t>без экипажа</t>
        </is>
      </c>
      <c r="G13" s="48" t="inlineStr">
        <is>
          <t>переброска на ИССО</t>
        </is>
      </c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46" t="n"/>
      <c r="AI13" s="46" t="n"/>
      <c r="AJ13" s="46" t="n"/>
      <c r="AK13" s="46" t="n"/>
      <c r="AL13" s="46" t="n"/>
      <c r="AM13" s="46" t="n"/>
      <c r="AN13" s="46" t="n"/>
      <c r="AO13" s="46" t="n"/>
      <c r="AP13" s="46" t="n"/>
      <c r="AQ13" s="46" t="n"/>
      <c r="AR13" s="46" t="n"/>
      <c r="AS13" s="46" t="n"/>
      <c r="AT13" s="46" t="n"/>
      <c r="AU13" s="46" t="n"/>
      <c r="AV13" s="46" t="n"/>
      <c r="AW13" s="46" t="n"/>
      <c r="AX13" s="46" t="n"/>
      <c r="AY13" s="46" t="n"/>
      <c r="AZ13" s="46" t="n"/>
      <c r="BA13" s="46" t="n"/>
      <c r="BB13" s="46" t="n"/>
      <c r="BC13" s="46" t="n"/>
      <c r="BD13" s="46" t="n"/>
      <c r="BE13" s="46" t="n"/>
      <c r="BF13" s="46" t="n"/>
      <c r="BG13" s="46" t="n"/>
      <c r="BH13" s="46" t="n"/>
    </row>
    <row r="14">
      <c r="A14" s="47" t="inlineStr">
        <is>
          <t>КатегорииПерсонала</t>
        </is>
      </c>
      <c r="B14" s="46" t="inlineStr">
        <is>
          <t>ДР</t>
        </is>
      </c>
      <c r="C14" s="46" t="inlineStr">
        <is>
          <t>ИТР</t>
        </is>
      </c>
      <c r="D14" s="46" t="inlineStr">
        <is>
          <t>Водители</t>
        </is>
      </c>
      <c r="E14" s="46" t="inlineStr">
        <is>
          <t>Механизаторы</t>
        </is>
      </c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  <c r="AO14" s="46" t="n"/>
      <c r="AP14" s="46" t="n"/>
      <c r="AQ14" s="46" t="n"/>
      <c r="AR14" s="46" t="n"/>
      <c r="AS14" s="46" t="n"/>
      <c r="AT14" s="46" t="n"/>
      <c r="AU14" s="46" t="n"/>
      <c r="AV14" s="46" t="n"/>
      <c r="AW14" s="46" t="n"/>
      <c r="AX14" s="46" t="n"/>
      <c r="AY14" s="46" t="n"/>
      <c r="AZ14" s="46" t="n"/>
      <c r="BA14" s="46" t="n"/>
      <c r="BB14" s="46" t="n"/>
      <c r="BC14" s="46" t="n"/>
      <c r="BD14" s="46" t="n"/>
      <c r="BE14" s="46" t="n"/>
      <c r="BF14" s="46" t="n"/>
      <c r="BG14" s="46" t="n"/>
      <c r="BH14" s="46" t="n"/>
    </row>
    <row r="15">
      <c r="A15" s="47" t="inlineStr">
        <is>
          <t>Накопители</t>
        </is>
      </c>
      <c r="B15" s="46" t="inlineStr">
        <is>
          <t>Накопитель грунта</t>
        </is>
      </c>
      <c r="C15" s="46" t="inlineStr">
        <is>
          <t>Накопитель песка АД13</t>
        </is>
      </c>
      <c r="D15" s="46" t="inlineStr">
        <is>
          <t>Накопитель ЩПГС</t>
        </is>
      </c>
      <c r="E15" s="46" t="inlineStr">
        <is>
          <t>Накопитель непригодного грунта</t>
        </is>
      </c>
      <c r="F15" s="46" t="n"/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46" t="n"/>
      <c r="AI15" s="46" t="n"/>
      <c r="AJ15" s="46" t="n"/>
      <c r="AK15" s="46" t="n"/>
      <c r="AL15" s="46" t="n"/>
      <c r="AM15" s="46" t="n"/>
      <c r="AN15" s="46" t="n"/>
      <c r="AO15" s="46" t="n"/>
      <c r="AP15" s="46" t="n"/>
      <c r="AQ15" s="46" t="n"/>
      <c r="AR15" s="46" t="n"/>
      <c r="AS15" s="46" t="n"/>
      <c r="AT15" s="46" t="n"/>
      <c r="AU15" s="46" t="n"/>
      <c r="AV15" s="46" t="n"/>
      <c r="AW15" s="46" t="n"/>
      <c r="AX15" s="46" t="n"/>
      <c r="AY15" s="46" t="n"/>
      <c r="AZ15" s="46" t="n"/>
      <c r="BA15" s="46" t="n"/>
      <c r="BB15" s="46" t="n"/>
      <c r="BC15" s="46" t="n"/>
      <c r="BD15" s="46" t="n"/>
      <c r="BE15" s="46" t="n"/>
      <c r="BF15" s="46" t="n"/>
      <c r="BG15" s="46" t="n"/>
      <c r="BH15" s="46" t="n"/>
    </row>
    <row r="16">
      <c r="A16" s="47" t="inlineStr">
        <is>
          <t>ТипСвайныхРабот</t>
        </is>
      </c>
      <c r="B16" s="46" t="inlineStr">
        <is>
          <t>основные</t>
        </is>
      </c>
      <c r="C16" s="46" t="inlineStr">
        <is>
          <t>пробные</t>
        </is>
      </c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46" t="n"/>
      <c r="AI16" s="46" t="n"/>
      <c r="AJ16" s="46" t="n"/>
      <c r="AK16" s="46" t="n"/>
      <c r="AL16" s="46" t="n"/>
      <c r="AM16" s="46" t="n"/>
      <c r="AN16" s="46" t="n"/>
      <c r="AO16" s="46" t="n"/>
      <c r="AP16" s="46" t="n"/>
      <c r="AQ16" s="46" t="n"/>
      <c r="AR16" s="46" t="n"/>
      <c r="AS16" s="46" t="n"/>
      <c r="AT16" s="46" t="n"/>
      <c r="AU16" s="46" t="n"/>
      <c r="AV16" s="46" t="n"/>
      <c r="AW16" s="46" t="n"/>
      <c r="AX16" s="46" t="n"/>
      <c r="AY16" s="46" t="n"/>
      <c r="AZ16" s="46" t="n"/>
      <c r="BA16" s="46" t="n"/>
      <c r="BB16" s="46" t="n"/>
      <c r="BC16" s="46" t="n"/>
      <c r="BD16" s="46" t="n"/>
      <c r="BE16" s="46" t="n"/>
      <c r="BF16" s="46" t="n"/>
      <c r="BG16" s="46" t="n"/>
      <c r="BH16" s="46" t="n"/>
    </row>
    <row r="17">
      <c r="A17" s="47" t="inlineStr">
        <is>
          <t>СоставнаяСвая</t>
        </is>
      </c>
      <c r="B17" s="46" t="inlineStr">
        <is>
          <t>да</t>
        </is>
      </c>
      <c r="C17" s="46" t="inlineStr">
        <is>
          <t>нет</t>
        </is>
      </c>
      <c r="D17" s="46" t="inlineStr">
        <is>
          <t>составная готова</t>
        </is>
      </c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46" t="n"/>
      <c r="AI17" s="46" t="n"/>
      <c r="AJ17" s="46" t="n"/>
      <c r="AK17" s="46" t="n"/>
      <c r="AL17" s="46" t="n"/>
      <c r="AM17" s="46" t="n"/>
      <c r="AN17" s="46" t="n"/>
      <c r="AO17" s="46" t="n"/>
      <c r="AP17" s="46" t="n"/>
      <c r="AQ17" s="46" t="n"/>
      <c r="AR17" s="46" t="n"/>
      <c r="AS17" s="46" t="n"/>
      <c r="AT17" s="46" t="n"/>
      <c r="AU17" s="46" t="n"/>
      <c r="AV17" s="46" t="n"/>
      <c r="AW17" s="46" t="n"/>
      <c r="AX17" s="46" t="n"/>
      <c r="AY17" s="46" t="n"/>
      <c r="AZ17" s="46" t="n"/>
      <c r="BA17" s="46" t="n"/>
      <c r="BB17" s="46" t="n"/>
      <c r="BC17" s="46" t="n"/>
      <c r="BD17" s="46" t="n"/>
      <c r="BE17" s="46" t="n"/>
      <c r="BF17" s="46" t="n"/>
      <c r="BG17" s="46" t="n"/>
      <c r="BH17" s="46" t="n"/>
    </row>
    <row r="18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46" t="n"/>
      <c r="AI18" s="46" t="n"/>
      <c r="AJ18" s="46" t="n"/>
      <c r="AK18" s="46" t="n"/>
      <c r="AL18" s="46" t="n"/>
      <c r="AM18" s="46" t="n"/>
      <c r="AN18" s="46" t="n"/>
      <c r="AO18" s="46" t="n"/>
      <c r="AP18" s="46" t="n"/>
      <c r="AQ18" s="46" t="n"/>
      <c r="AR18" s="46" t="n"/>
      <c r="AS18" s="46" t="n"/>
      <c r="AT18" s="46" t="n"/>
      <c r="AU18" s="46" t="n"/>
      <c r="AV18" s="46" t="n"/>
      <c r="AW18" s="46" t="n"/>
      <c r="AX18" s="46" t="n"/>
      <c r="AY18" s="46" t="n"/>
      <c r="AZ18" s="46" t="n"/>
      <c r="BA18" s="46" t="n"/>
      <c r="BB18" s="46" t="n"/>
      <c r="BC18" s="46" t="n"/>
      <c r="BD18" s="46" t="n"/>
      <c r="BE18" s="46" t="n"/>
      <c r="BF18" s="46" t="n"/>
      <c r="BG18" s="46" t="n"/>
      <c r="BH18" s="46" t="n"/>
    </row>
    <row r="19">
      <c r="A19" s="46" t="n"/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46" t="n"/>
      <c r="AI19" s="46" t="n"/>
      <c r="AJ19" s="46" t="n"/>
      <c r="AK19" s="46" t="n"/>
      <c r="AL19" s="46" t="n"/>
      <c r="AM19" s="46" t="n"/>
      <c r="AN19" s="46" t="n"/>
      <c r="AO19" s="46" t="n"/>
      <c r="AP19" s="46" t="n"/>
      <c r="AQ19" s="46" t="n"/>
      <c r="AR19" s="46" t="n"/>
      <c r="AS19" s="46" t="n"/>
      <c r="AT19" s="46" t="n"/>
      <c r="AU19" s="46" t="n"/>
      <c r="AV19" s="46" t="n"/>
      <c r="AW19" s="46" t="n"/>
      <c r="AX19" s="46" t="n"/>
      <c r="AY19" s="46" t="n"/>
      <c r="AZ19" s="46" t="n"/>
      <c r="BA19" s="46" t="n"/>
      <c r="BB19" s="46" t="n"/>
      <c r="BC19" s="46" t="n"/>
      <c r="BD19" s="46" t="n"/>
      <c r="BE19" s="46" t="n"/>
      <c r="BF19" s="46" t="n"/>
      <c r="BG19" s="46" t="n"/>
      <c r="BH19" s="46" t="n"/>
    </row>
    <row r="20">
      <c r="A20" s="46" t="n"/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46" t="n"/>
      <c r="AI20" s="46" t="n"/>
      <c r="AJ20" s="46" t="n"/>
      <c r="AK20" s="46" t="n"/>
      <c r="AL20" s="46" t="n"/>
      <c r="AM20" s="46" t="n"/>
      <c r="AN20" s="46" t="n"/>
      <c r="AO20" s="46" t="n"/>
      <c r="AP20" s="46" t="n"/>
      <c r="AQ20" s="46" t="n"/>
      <c r="AR20" s="46" t="n"/>
      <c r="AS20" s="46" t="n"/>
      <c r="AT20" s="46" t="n"/>
      <c r="AU20" s="46" t="n"/>
      <c r="AV20" s="46" t="n"/>
      <c r="AW20" s="46" t="n"/>
      <c r="AX20" s="46" t="n"/>
      <c r="AY20" s="46" t="n"/>
      <c r="AZ20" s="46" t="n"/>
      <c r="BA20" s="46" t="n"/>
      <c r="BB20" s="46" t="n"/>
      <c r="BC20" s="46" t="n"/>
      <c r="BD20" s="46" t="n"/>
      <c r="BE20" s="46" t="n"/>
      <c r="BF20" s="46" t="n"/>
      <c r="BG20" s="46" t="n"/>
      <c r="BH20" s="46" t="n"/>
    </row>
    <row r="21">
      <c r="A21" s="46" t="inlineStr">
        <is>
          <t>Подсказка: пополнить список — допиши значение справа в той же строке.</t>
        </is>
      </c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46" t="n"/>
      <c r="AI21" s="46" t="n"/>
      <c r="AJ21" s="46" t="n"/>
      <c r="AK21" s="46" t="n"/>
      <c r="AL21" s="46" t="n"/>
      <c r="AM21" s="46" t="n"/>
      <c r="AN21" s="46" t="n"/>
      <c r="AO21" s="46" t="n"/>
      <c r="AP21" s="46" t="n"/>
      <c r="AQ21" s="46" t="n"/>
      <c r="AR21" s="46" t="n"/>
      <c r="AS21" s="46" t="n"/>
      <c r="AT21" s="46" t="n"/>
      <c r="AU21" s="46" t="n"/>
      <c r="AV21" s="46" t="n"/>
      <c r="AW21" s="46" t="n"/>
      <c r="AX21" s="46" t="n"/>
      <c r="AY21" s="46" t="n"/>
      <c r="AZ21" s="46" t="n"/>
      <c r="BA21" s="46" t="n"/>
      <c r="BB21" s="46" t="n"/>
      <c r="BC21" s="46" t="n"/>
      <c r="BD21" s="46" t="n"/>
      <c r="BE21" s="46" t="n"/>
      <c r="BF21" s="46" t="n"/>
      <c r="BG21" s="46" t="n"/>
      <c r="BH21" s="46" t="n"/>
    </row>
    <row r="22">
      <c r="A22" s="46" t="inlineStr">
        <is>
          <t>Справочники пересобраны по эталону report_v2_full_2026-05-04_section1.txt.</t>
        </is>
      </c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46" t="n"/>
      <c r="AI22" s="46" t="n"/>
      <c r="AJ22" s="46" t="n"/>
      <c r="AK22" s="46" t="n"/>
      <c r="AL22" s="46" t="n"/>
      <c r="AM22" s="46" t="n"/>
      <c r="AN22" s="46" t="n"/>
      <c r="AO22" s="46" t="n"/>
      <c r="AP22" s="46" t="n"/>
      <c r="AQ22" s="46" t="n"/>
      <c r="AR22" s="46" t="n"/>
      <c r="AS22" s="46" t="n"/>
      <c r="AT22" s="46" t="n"/>
      <c r="AU22" s="46" t="n"/>
      <c r="AV22" s="46" t="n"/>
      <c r="AW22" s="46" t="n"/>
      <c r="AX22" s="46" t="n"/>
      <c r="AY22" s="46" t="n"/>
      <c r="AZ22" s="46" t="n"/>
      <c r="BA22" s="46" t="n"/>
      <c r="BB22" s="46" t="n"/>
      <c r="BC22" s="46" t="n"/>
      <c r="BD22" s="46" t="n"/>
      <c r="BE22" s="46" t="n"/>
      <c r="BF22" s="46" t="n"/>
      <c r="BG22" s="46" t="n"/>
      <c r="BH22" s="46" t="n"/>
    </row>
    <row r="23">
      <c r="A23" s="46" t="n"/>
      <c r="B23" s="46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46" t="n"/>
      <c r="AI23" s="46" t="n"/>
      <c r="AJ23" s="46" t="n"/>
      <c r="AK23" s="46" t="n"/>
      <c r="AL23" s="46" t="n"/>
      <c r="AM23" s="46" t="n"/>
      <c r="AN23" s="46" t="n"/>
      <c r="AO23" s="46" t="n"/>
      <c r="AP23" s="46" t="n"/>
      <c r="AQ23" s="46" t="n"/>
      <c r="AR23" s="46" t="n"/>
      <c r="AS23" s="46" t="n"/>
      <c r="AT23" s="46" t="n"/>
      <c r="AU23" s="46" t="n"/>
      <c r="AV23" s="46" t="n"/>
      <c r="AW23" s="46" t="n"/>
      <c r="AX23" s="46" t="n"/>
      <c r="AY23" s="46" t="n"/>
      <c r="AZ23" s="46" t="n"/>
      <c r="BA23" s="46" t="n"/>
      <c r="BB23" s="46" t="n"/>
      <c r="BC23" s="46" t="n"/>
      <c r="BD23" s="46" t="n"/>
      <c r="BE23" s="46" t="n"/>
      <c r="BF23" s="46" t="n"/>
      <c r="BG23" s="46" t="n"/>
      <c r="BH23" s="46" t="n"/>
    </row>
    <row r="24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46" t="n"/>
      <c r="AI24" s="46" t="n"/>
      <c r="AJ24" s="46" t="n"/>
      <c r="AK24" s="46" t="n"/>
      <c r="AL24" s="46" t="n"/>
      <c r="AM24" s="46" t="n"/>
      <c r="AN24" s="46" t="n"/>
      <c r="AO24" s="46" t="n"/>
      <c r="AP24" s="46" t="n"/>
      <c r="AQ24" s="46" t="n"/>
      <c r="AR24" s="46" t="n"/>
      <c r="AS24" s="46" t="n"/>
      <c r="AT24" s="46" t="n"/>
      <c r="AU24" s="46" t="n"/>
      <c r="AV24" s="46" t="n"/>
      <c r="AW24" s="46" t="n"/>
      <c r="AX24" s="46" t="n"/>
      <c r="AY24" s="46" t="n"/>
      <c r="AZ24" s="46" t="n"/>
      <c r="BA24" s="46" t="n"/>
      <c r="BB24" s="46" t="n"/>
      <c r="BC24" s="46" t="n"/>
      <c r="BD24" s="46" t="n"/>
      <c r="BE24" s="46" t="n"/>
      <c r="BF24" s="46" t="n"/>
      <c r="BG24" s="46" t="n"/>
      <c r="BH24" s="46" t="n"/>
    </row>
    <row r="25">
      <c r="A25" s="46" t="n"/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46" t="n"/>
      <c r="AH25" s="46" t="n"/>
      <c r="AI25" s="46" t="n"/>
      <c r="AJ25" s="46" t="n"/>
      <c r="AK25" s="46" t="n"/>
      <c r="AL25" s="46" t="n"/>
      <c r="AM25" s="46" t="n"/>
      <c r="AN25" s="46" t="n"/>
      <c r="AO25" s="46" t="n"/>
      <c r="AP25" s="46" t="n"/>
      <c r="AQ25" s="46" t="n"/>
      <c r="AR25" s="46" t="n"/>
      <c r="AS25" s="46" t="n"/>
      <c r="AT25" s="46" t="n"/>
      <c r="AU25" s="46" t="n"/>
      <c r="AV25" s="46" t="n"/>
      <c r="AW25" s="46" t="n"/>
      <c r="AX25" s="46" t="n"/>
      <c r="AY25" s="46" t="n"/>
      <c r="AZ25" s="46" t="n"/>
      <c r="BA25" s="46" t="n"/>
      <c r="BB25" s="46" t="n"/>
      <c r="BC25" s="46" t="n"/>
      <c r="BD25" s="46" t="n"/>
      <c r="BE25" s="46" t="n"/>
      <c r="BF25" s="46" t="n"/>
      <c r="BG25" s="46" t="n"/>
      <c r="BH25" s="46" t="n"/>
    </row>
    <row r="26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6" t="n"/>
      <c r="AH26" s="46" t="n"/>
      <c r="AI26" s="46" t="n"/>
      <c r="AJ26" s="46" t="n"/>
      <c r="AK26" s="46" t="n"/>
      <c r="AL26" s="46" t="n"/>
      <c r="AM26" s="46" t="n"/>
      <c r="AN26" s="46" t="n"/>
      <c r="AO26" s="46" t="n"/>
      <c r="AP26" s="46" t="n"/>
      <c r="AQ26" s="46" t="n"/>
      <c r="AR26" s="46" t="n"/>
      <c r="AS26" s="46" t="n"/>
      <c r="AT26" s="46" t="n"/>
      <c r="AU26" s="46" t="n"/>
      <c r="AV26" s="46" t="n"/>
      <c r="AW26" s="46" t="n"/>
      <c r="AX26" s="46" t="n"/>
      <c r="AY26" s="46" t="n"/>
      <c r="AZ26" s="46" t="n"/>
      <c r="BA26" s="46" t="n"/>
      <c r="BB26" s="46" t="n"/>
      <c r="BC26" s="46" t="n"/>
      <c r="BD26" s="46" t="n"/>
      <c r="BE26" s="46" t="n"/>
      <c r="BF26" s="46" t="n"/>
      <c r="BG26" s="46" t="n"/>
      <c r="BH26" s="46" t="n"/>
    </row>
    <row r="27">
      <c r="A27" s="46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6" t="n"/>
      <c r="T27" s="46" t="n"/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6" t="n"/>
      <c r="AH27" s="46" t="n"/>
      <c r="AI27" s="46" t="n"/>
      <c r="AJ27" s="46" t="n"/>
      <c r="AK27" s="46" t="n"/>
      <c r="AL27" s="46" t="n"/>
      <c r="AM27" s="46" t="n"/>
      <c r="AN27" s="46" t="n"/>
      <c r="AO27" s="46" t="n"/>
      <c r="AP27" s="46" t="n"/>
      <c r="AQ27" s="46" t="n"/>
      <c r="AR27" s="46" t="n"/>
      <c r="AS27" s="46" t="n"/>
      <c r="AT27" s="46" t="n"/>
      <c r="AU27" s="46" t="n"/>
      <c r="AV27" s="46" t="n"/>
      <c r="AW27" s="46" t="n"/>
      <c r="AX27" s="46" t="n"/>
      <c r="AY27" s="46" t="n"/>
      <c r="AZ27" s="46" t="n"/>
      <c r="BA27" s="46" t="n"/>
      <c r="BB27" s="46" t="n"/>
      <c r="BC27" s="46" t="n"/>
      <c r="BD27" s="46" t="n"/>
      <c r="BE27" s="46" t="n"/>
      <c r="BF27" s="46" t="n"/>
      <c r="BG27" s="46" t="n"/>
      <c r="BH27" s="46" t="n"/>
    </row>
    <row r="28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46" t="n"/>
      <c r="AH28" s="46" t="n"/>
      <c r="AI28" s="46" t="n"/>
      <c r="AJ28" s="46" t="n"/>
      <c r="AK28" s="46" t="n"/>
      <c r="AL28" s="46" t="n"/>
      <c r="AM28" s="46" t="n"/>
      <c r="AN28" s="46" t="n"/>
      <c r="AO28" s="46" t="n"/>
      <c r="AP28" s="46" t="n"/>
      <c r="AQ28" s="46" t="n"/>
      <c r="AR28" s="46" t="n"/>
      <c r="AS28" s="46" t="n"/>
      <c r="AT28" s="46" t="n"/>
      <c r="AU28" s="46" t="n"/>
      <c r="AV28" s="46" t="n"/>
      <c r="AW28" s="46" t="n"/>
      <c r="AX28" s="46" t="n"/>
      <c r="AY28" s="46" t="n"/>
      <c r="AZ28" s="46" t="n"/>
      <c r="BA28" s="46" t="n"/>
      <c r="BB28" s="46" t="n"/>
      <c r="BC28" s="46" t="n"/>
      <c r="BD28" s="46" t="n"/>
      <c r="BE28" s="46" t="n"/>
      <c r="BF28" s="46" t="n"/>
      <c r="BG28" s="46" t="n"/>
      <c r="BH28" s="46" t="n"/>
    </row>
    <row r="29">
      <c r="A29" s="46" t="n"/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46" t="n"/>
      <c r="AI29" s="46" t="n"/>
      <c r="AJ29" s="46" t="n"/>
      <c r="AK29" s="46" t="n"/>
      <c r="AL29" s="46" t="n"/>
      <c r="AM29" s="46" t="n"/>
      <c r="AN29" s="46" t="n"/>
      <c r="AO29" s="46" t="n"/>
      <c r="AP29" s="46" t="n"/>
      <c r="AQ29" s="46" t="n"/>
      <c r="AR29" s="46" t="n"/>
      <c r="AS29" s="46" t="n"/>
      <c r="AT29" s="46" t="n"/>
      <c r="AU29" s="46" t="n"/>
      <c r="AV29" s="46" t="n"/>
      <c r="AW29" s="46" t="n"/>
      <c r="AX29" s="46" t="n"/>
      <c r="AY29" s="46" t="n"/>
      <c r="AZ29" s="46" t="n"/>
      <c r="BA29" s="46" t="n"/>
      <c r="BB29" s="46" t="n"/>
      <c r="BC29" s="46" t="n"/>
      <c r="BD29" s="46" t="n"/>
      <c r="BE29" s="46" t="n"/>
      <c r="BF29" s="46" t="n"/>
      <c r="BG29" s="46" t="n"/>
      <c r="BH29" s="46" t="n"/>
    </row>
    <row r="30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  <c r="AG30" s="46" t="n"/>
      <c r="AH30" s="46" t="n"/>
      <c r="AI30" s="46" t="n"/>
      <c r="AJ30" s="46" t="n"/>
      <c r="AK30" s="46" t="n"/>
      <c r="AL30" s="46" t="n"/>
      <c r="AM30" s="46" t="n"/>
      <c r="AN30" s="46" t="n"/>
      <c r="AO30" s="46" t="n"/>
      <c r="AP30" s="46" t="n"/>
      <c r="AQ30" s="46" t="n"/>
      <c r="AR30" s="46" t="n"/>
      <c r="AS30" s="46" t="n"/>
      <c r="AT30" s="46" t="n"/>
      <c r="AU30" s="46" t="n"/>
      <c r="AV30" s="46" t="n"/>
      <c r="AW30" s="46" t="n"/>
      <c r="AX30" s="46" t="n"/>
      <c r="AY30" s="46" t="n"/>
      <c r="AZ30" s="46" t="n"/>
      <c r="BA30" s="46" t="n"/>
      <c r="BB30" s="46" t="n"/>
      <c r="BC30" s="46" t="n"/>
      <c r="BD30" s="46" t="n"/>
      <c r="BE30" s="46" t="n"/>
      <c r="BF30" s="46" t="n"/>
      <c r="BG30" s="46" t="n"/>
      <c r="BH30" s="46" t="n"/>
    </row>
    <row r="31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46" t="n"/>
      <c r="AI31" s="46" t="n"/>
      <c r="AJ31" s="46" t="n"/>
      <c r="AK31" s="46" t="n"/>
      <c r="AL31" s="46" t="n"/>
      <c r="AM31" s="46" t="n"/>
      <c r="AN31" s="46" t="n"/>
      <c r="AO31" s="46" t="n"/>
      <c r="AP31" s="46" t="n"/>
      <c r="AQ31" s="46" t="n"/>
      <c r="AR31" s="46" t="n"/>
      <c r="AS31" s="46" t="n"/>
      <c r="AT31" s="46" t="n"/>
      <c r="AU31" s="46" t="n"/>
      <c r="AV31" s="46" t="n"/>
      <c r="AW31" s="46" t="n"/>
      <c r="AX31" s="46" t="n"/>
      <c r="AY31" s="46" t="n"/>
      <c r="AZ31" s="46" t="n"/>
      <c r="BA31" s="46" t="n"/>
      <c r="BB31" s="46" t="n"/>
      <c r="BC31" s="46" t="n"/>
      <c r="BD31" s="46" t="n"/>
      <c r="BE31" s="46" t="n"/>
      <c r="BF31" s="46" t="n"/>
      <c r="BG31" s="46" t="n"/>
      <c r="BH31" s="46" t="n"/>
    </row>
    <row r="32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6" t="n"/>
      <c r="AH32" s="46" t="n"/>
      <c r="AI32" s="46" t="n"/>
      <c r="AJ32" s="46" t="n"/>
      <c r="AK32" s="46" t="n"/>
      <c r="AL32" s="46" t="n"/>
      <c r="AM32" s="46" t="n"/>
      <c r="AN32" s="46" t="n"/>
      <c r="AO32" s="46" t="n"/>
      <c r="AP32" s="46" t="n"/>
      <c r="AQ32" s="46" t="n"/>
      <c r="AR32" s="46" t="n"/>
      <c r="AS32" s="46" t="n"/>
      <c r="AT32" s="46" t="n"/>
      <c r="AU32" s="46" t="n"/>
      <c r="AV32" s="46" t="n"/>
      <c r="AW32" s="46" t="n"/>
      <c r="AX32" s="46" t="n"/>
      <c r="AY32" s="46" t="n"/>
      <c r="AZ32" s="46" t="n"/>
      <c r="BA32" s="46" t="n"/>
      <c r="BB32" s="46" t="n"/>
      <c r="BC32" s="46" t="n"/>
      <c r="BD32" s="46" t="n"/>
      <c r="BE32" s="46" t="n"/>
      <c r="BF32" s="46" t="n"/>
      <c r="BG32" s="46" t="n"/>
      <c r="BH32" s="46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2026-04-17T15:14:18Z</dcterms:created>
  <dcterms:modified xmlns:dcterms="http://purl.org/dc/terms/" xmlns:xsi="http://www.w3.org/2001/XMLSchema-instance" xsi:type="dcterms:W3CDTF">2026-05-06T15:53:07+00:00Z</dcterms:modified>
  <cp:lastModifiedBy>Федосов Ян Сергеевич</cp:lastModifiedBy>
  <cp:revision>0</cp:revision>
</cp:coreProperties>
</file>